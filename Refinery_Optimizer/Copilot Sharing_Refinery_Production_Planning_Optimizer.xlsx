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asf-my.sharepoint.com/personal/mohdshmu_basfad_basf_net/Documents/Desktop/"/>
    </mc:Choice>
  </mc:AlternateContent>
  <xr:revisionPtr revIDLastSave="13" documentId="11_BE40814520DEC2ED11AD9FDC9C23A5CB962F26CF" xr6:coauthVersionLast="47" xr6:coauthVersionMax="47" xr10:uidLastSave="{4BC7989C-9FE9-4AE7-BA1B-FC7BB6B3193A}"/>
  <bookViews>
    <workbookView minimized="1" xWindow="-32610" yWindow="4695" windowWidth="21600" windowHeight="11295" tabRatio="789" firstSheet="1" activeTab="1" xr2:uid="{00000000-000D-0000-FFFF-FFFF00000000}"/>
  </bookViews>
  <sheets>
    <sheet name="Optimization_Notes" sheetId="1" r:id="rId1"/>
    <sheet name="Daily_Plan" sheetId="2" r:id="rId2"/>
    <sheet name="Tank_Balance" sheetId="3" r:id="rId3"/>
    <sheet name="Tank_Summary" sheetId="4" r:id="rId4"/>
    <sheet name="Constraint_Check" sheetId="5" r:id="rId5"/>
    <sheet name="Crude_Data" sheetId="6" r:id="rId6"/>
    <sheet name="Unit_Data" sheetId="7" r:id="rId7"/>
    <sheet name="Product_Data" sheetId="8" r:id="rId8"/>
    <sheet name="Tank_Master" sheetId="9" r:id="rId9"/>
    <sheet name="Crude_Receipts" sheetId="10" r:id="rId10"/>
    <sheet name="Product_Liftings" sheetId="11" r:id="rId11"/>
  </sheets>
  <definedNames>
    <definedName name="_xlnm._FilterDatabase" localSheetId="2" hidden="1">Tank_Balance!$A$4:$M$314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5" i="2" l="1"/>
  <c r="AB5" i="2"/>
  <c r="Z5" i="2"/>
  <c r="Y5" i="2"/>
  <c r="Q5" i="2"/>
  <c r="P7" i="2"/>
  <c r="C11" i="6"/>
  <c r="P20" i="2"/>
  <c r="N19" i="2"/>
  <c r="W19" i="2" s="1"/>
  <c r="I16" i="3"/>
  <c r="U11" i="4"/>
  <c r="M29" i="3"/>
  <c r="I43" i="3"/>
  <c r="M43" i="3"/>
  <c r="H36" i="11"/>
  <c r="G36" i="11"/>
  <c r="F36" i="11"/>
  <c r="E36" i="11"/>
  <c r="D36" i="11"/>
  <c r="C36" i="11"/>
  <c r="F36" i="10"/>
  <c r="E36" i="10"/>
  <c r="D36" i="10"/>
  <c r="C36" i="10"/>
  <c r="D21" i="7"/>
  <c r="D13" i="7"/>
  <c r="F11" i="6"/>
  <c r="E11" i="6"/>
  <c r="D11" i="6"/>
  <c r="D51" i="5"/>
  <c r="B51" i="5"/>
  <c r="A51" i="5"/>
  <c r="D50" i="5"/>
  <c r="B50" i="5"/>
  <c r="A50" i="5"/>
  <c r="D49" i="5"/>
  <c r="B49" i="5"/>
  <c r="A49" i="5"/>
  <c r="D48" i="5"/>
  <c r="B48" i="5"/>
  <c r="A48" i="5"/>
  <c r="D47" i="5"/>
  <c r="B47" i="5"/>
  <c r="A47" i="5"/>
  <c r="D46" i="5"/>
  <c r="B46" i="5"/>
  <c r="A46" i="5"/>
  <c r="D45" i="5"/>
  <c r="B45" i="5"/>
  <c r="A45" i="5"/>
  <c r="D44" i="5"/>
  <c r="B44" i="5"/>
  <c r="A44" i="5"/>
  <c r="D43" i="5"/>
  <c r="B43" i="5"/>
  <c r="A43" i="5"/>
  <c r="D42" i="5"/>
  <c r="B42" i="5"/>
  <c r="A42" i="5"/>
  <c r="M35" i="5"/>
  <c r="J35" i="5"/>
  <c r="F35" i="5"/>
  <c r="G35" i="5" s="1"/>
  <c r="C35" i="5"/>
  <c r="B35" i="5"/>
  <c r="M34" i="5"/>
  <c r="J34" i="5"/>
  <c r="F34" i="5"/>
  <c r="G34" i="5" s="1"/>
  <c r="C34" i="5"/>
  <c r="B34" i="5"/>
  <c r="M33" i="5"/>
  <c r="J33" i="5"/>
  <c r="F33" i="5"/>
  <c r="G33" i="5" s="1"/>
  <c r="C33" i="5"/>
  <c r="B33" i="5"/>
  <c r="M32" i="5"/>
  <c r="J32" i="5"/>
  <c r="F32" i="5"/>
  <c r="G32" i="5" s="1"/>
  <c r="C32" i="5"/>
  <c r="B32" i="5"/>
  <c r="M31" i="5"/>
  <c r="J31" i="5"/>
  <c r="F31" i="5"/>
  <c r="G31" i="5" s="1"/>
  <c r="C31" i="5"/>
  <c r="B31" i="5"/>
  <c r="M30" i="5"/>
  <c r="J30" i="5"/>
  <c r="F30" i="5"/>
  <c r="G30" i="5" s="1"/>
  <c r="C30" i="5"/>
  <c r="B30" i="5"/>
  <c r="M29" i="5"/>
  <c r="J29" i="5"/>
  <c r="F29" i="5"/>
  <c r="G29" i="5" s="1"/>
  <c r="C29" i="5"/>
  <c r="B29" i="5"/>
  <c r="M28" i="5"/>
  <c r="J28" i="5"/>
  <c r="F28" i="5"/>
  <c r="G28" i="5" s="1"/>
  <c r="C28" i="5"/>
  <c r="B28" i="5"/>
  <c r="M27" i="5"/>
  <c r="J27" i="5"/>
  <c r="F27" i="5"/>
  <c r="G27" i="5" s="1"/>
  <c r="C27" i="5"/>
  <c r="B27" i="5"/>
  <c r="M26" i="5"/>
  <c r="J26" i="5"/>
  <c r="F26" i="5"/>
  <c r="G26" i="5" s="1"/>
  <c r="C26" i="5"/>
  <c r="B26" i="5"/>
  <c r="M25" i="5"/>
  <c r="J25" i="5"/>
  <c r="F25" i="5"/>
  <c r="G25" i="5" s="1"/>
  <c r="C25" i="5"/>
  <c r="B25" i="5"/>
  <c r="M24" i="5"/>
  <c r="J24" i="5"/>
  <c r="F24" i="5"/>
  <c r="G24" i="5" s="1"/>
  <c r="C24" i="5"/>
  <c r="B24" i="5"/>
  <c r="M23" i="5"/>
  <c r="J23" i="5"/>
  <c r="F23" i="5"/>
  <c r="G23" i="5" s="1"/>
  <c r="C23" i="5"/>
  <c r="B23" i="5"/>
  <c r="M22" i="5"/>
  <c r="J22" i="5"/>
  <c r="F22" i="5"/>
  <c r="G22" i="5" s="1"/>
  <c r="C22" i="5"/>
  <c r="B22" i="5"/>
  <c r="M21" i="5"/>
  <c r="J21" i="5"/>
  <c r="F21" i="5"/>
  <c r="G21" i="5" s="1"/>
  <c r="C21" i="5"/>
  <c r="B21" i="5"/>
  <c r="M20" i="5"/>
  <c r="J20" i="5"/>
  <c r="F20" i="5"/>
  <c r="G20" i="5" s="1"/>
  <c r="C20" i="5"/>
  <c r="B20" i="5"/>
  <c r="M19" i="5"/>
  <c r="J19" i="5"/>
  <c r="F19" i="5"/>
  <c r="G19" i="5" s="1"/>
  <c r="C19" i="5"/>
  <c r="B19" i="5"/>
  <c r="M18" i="5"/>
  <c r="J18" i="5"/>
  <c r="F18" i="5"/>
  <c r="G18" i="5" s="1"/>
  <c r="C18" i="5"/>
  <c r="B18" i="5"/>
  <c r="M17" i="5"/>
  <c r="J17" i="5"/>
  <c r="F17" i="5"/>
  <c r="G17" i="5" s="1"/>
  <c r="C17" i="5"/>
  <c r="B17" i="5"/>
  <c r="M16" i="5"/>
  <c r="J16" i="5"/>
  <c r="F16" i="5"/>
  <c r="G16" i="5" s="1"/>
  <c r="C16" i="5"/>
  <c r="B16" i="5"/>
  <c r="M15" i="5"/>
  <c r="J15" i="5"/>
  <c r="F15" i="5"/>
  <c r="G15" i="5" s="1"/>
  <c r="C15" i="5"/>
  <c r="B15" i="5"/>
  <c r="M14" i="5"/>
  <c r="J14" i="5"/>
  <c r="F14" i="5"/>
  <c r="G14" i="5" s="1"/>
  <c r="C14" i="5"/>
  <c r="B14" i="5"/>
  <c r="M13" i="5"/>
  <c r="J13" i="5"/>
  <c r="F13" i="5"/>
  <c r="G13" i="5" s="1"/>
  <c r="C13" i="5"/>
  <c r="B13" i="5"/>
  <c r="M12" i="5"/>
  <c r="J12" i="5"/>
  <c r="F12" i="5"/>
  <c r="G12" i="5" s="1"/>
  <c r="C12" i="5"/>
  <c r="B12" i="5"/>
  <c r="M11" i="5"/>
  <c r="J11" i="5"/>
  <c r="F11" i="5"/>
  <c r="G11" i="5" s="1"/>
  <c r="C11" i="5"/>
  <c r="B11" i="5"/>
  <c r="M10" i="5"/>
  <c r="J10" i="5"/>
  <c r="F10" i="5"/>
  <c r="G10" i="5" s="1"/>
  <c r="C10" i="5"/>
  <c r="B10" i="5"/>
  <c r="M9" i="5"/>
  <c r="J9" i="5"/>
  <c r="F9" i="5"/>
  <c r="G9" i="5" s="1"/>
  <c r="C9" i="5"/>
  <c r="B9" i="5"/>
  <c r="M8" i="5"/>
  <c r="J8" i="5"/>
  <c r="F8" i="5"/>
  <c r="G8" i="5" s="1"/>
  <c r="C8" i="5"/>
  <c r="B8" i="5"/>
  <c r="M7" i="5"/>
  <c r="J7" i="5"/>
  <c r="F7" i="5"/>
  <c r="G7" i="5" s="1"/>
  <c r="C7" i="5"/>
  <c r="B7" i="5"/>
  <c r="M6" i="5"/>
  <c r="J6" i="5"/>
  <c r="F6" i="5"/>
  <c r="G6" i="5" s="1"/>
  <c r="C6" i="5"/>
  <c r="B6" i="5"/>
  <c r="M5" i="5"/>
  <c r="J5" i="5"/>
  <c r="F5" i="5"/>
  <c r="G5" i="5" s="1"/>
  <c r="G37" i="5" s="1"/>
  <c r="C5" i="5"/>
  <c r="B5" i="5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K314" i="3"/>
  <c r="J314" i="3"/>
  <c r="H314" i="3"/>
  <c r="E314" i="3"/>
  <c r="K313" i="3"/>
  <c r="J313" i="3"/>
  <c r="H313" i="3"/>
  <c r="E313" i="3"/>
  <c r="K312" i="3"/>
  <c r="J312" i="3"/>
  <c r="H312" i="3"/>
  <c r="E312" i="3"/>
  <c r="K311" i="3"/>
  <c r="J311" i="3"/>
  <c r="H311" i="3"/>
  <c r="E311" i="3"/>
  <c r="K310" i="3"/>
  <c r="J310" i="3"/>
  <c r="H310" i="3"/>
  <c r="E310" i="3"/>
  <c r="K309" i="3"/>
  <c r="J309" i="3"/>
  <c r="H309" i="3"/>
  <c r="E309" i="3"/>
  <c r="K308" i="3"/>
  <c r="J308" i="3"/>
  <c r="H308" i="3"/>
  <c r="E308" i="3"/>
  <c r="K307" i="3"/>
  <c r="J307" i="3"/>
  <c r="H307" i="3"/>
  <c r="E307" i="3"/>
  <c r="K306" i="3"/>
  <c r="J306" i="3"/>
  <c r="H306" i="3"/>
  <c r="E306" i="3"/>
  <c r="K305" i="3"/>
  <c r="J305" i="3"/>
  <c r="H305" i="3"/>
  <c r="E305" i="3"/>
  <c r="K304" i="3"/>
  <c r="J304" i="3"/>
  <c r="H304" i="3"/>
  <c r="E304" i="3"/>
  <c r="K303" i="3"/>
  <c r="J303" i="3"/>
  <c r="H303" i="3"/>
  <c r="E303" i="3"/>
  <c r="K302" i="3"/>
  <c r="J302" i="3"/>
  <c r="H302" i="3"/>
  <c r="E302" i="3"/>
  <c r="K301" i="3"/>
  <c r="J301" i="3"/>
  <c r="H301" i="3"/>
  <c r="E301" i="3"/>
  <c r="K300" i="3"/>
  <c r="J300" i="3"/>
  <c r="H300" i="3"/>
  <c r="E300" i="3"/>
  <c r="K299" i="3"/>
  <c r="J299" i="3"/>
  <c r="H299" i="3"/>
  <c r="E299" i="3"/>
  <c r="K298" i="3"/>
  <c r="J298" i="3"/>
  <c r="H298" i="3"/>
  <c r="E298" i="3"/>
  <c r="K297" i="3"/>
  <c r="J297" i="3"/>
  <c r="H297" i="3"/>
  <c r="E297" i="3"/>
  <c r="K296" i="3"/>
  <c r="J296" i="3"/>
  <c r="H296" i="3"/>
  <c r="E296" i="3"/>
  <c r="K295" i="3"/>
  <c r="J295" i="3"/>
  <c r="H295" i="3"/>
  <c r="E295" i="3"/>
  <c r="K294" i="3"/>
  <c r="J294" i="3"/>
  <c r="H294" i="3"/>
  <c r="E294" i="3"/>
  <c r="K293" i="3"/>
  <c r="J293" i="3"/>
  <c r="H293" i="3"/>
  <c r="E293" i="3"/>
  <c r="K292" i="3"/>
  <c r="J292" i="3"/>
  <c r="H292" i="3"/>
  <c r="E292" i="3"/>
  <c r="K291" i="3"/>
  <c r="J291" i="3"/>
  <c r="H291" i="3"/>
  <c r="E291" i="3"/>
  <c r="K290" i="3"/>
  <c r="J290" i="3"/>
  <c r="H290" i="3"/>
  <c r="E290" i="3"/>
  <c r="K289" i="3"/>
  <c r="J289" i="3"/>
  <c r="H289" i="3"/>
  <c r="E289" i="3"/>
  <c r="K288" i="3"/>
  <c r="J288" i="3"/>
  <c r="H288" i="3"/>
  <c r="E288" i="3"/>
  <c r="K287" i="3"/>
  <c r="J287" i="3"/>
  <c r="H287" i="3"/>
  <c r="E287" i="3"/>
  <c r="K286" i="3"/>
  <c r="J286" i="3"/>
  <c r="H286" i="3"/>
  <c r="E286" i="3"/>
  <c r="K285" i="3"/>
  <c r="J285" i="3"/>
  <c r="H285" i="3"/>
  <c r="E285" i="3"/>
  <c r="K284" i="3"/>
  <c r="J284" i="3"/>
  <c r="H284" i="3"/>
  <c r="F284" i="3"/>
  <c r="E284" i="3"/>
  <c r="K283" i="3"/>
  <c r="J283" i="3"/>
  <c r="H283" i="3"/>
  <c r="E283" i="3"/>
  <c r="K282" i="3"/>
  <c r="J282" i="3"/>
  <c r="H282" i="3"/>
  <c r="E282" i="3"/>
  <c r="K281" i="3"/>
  <c r="J281" i="3"/>
  <c r="H281" i="3"/>
  <c r="E281" i="3"/>
  <c r="K280" i="3"/>
  <c r="J280" i="3"/>
  <c r="H280" i="3"/>
  <c r="E280" i="3"/>
  <c r="K279" i="3"/>
  <c r="J279" i="3"/>
  <c r="H279" i="3"/>
  <c r="E279" i="3"/>
  <c r="K278" i="3"/>
  <c r="J278" i="3"/>
  <c r="H278" i="3"/>
  <c r="E278" i="3"/>
  <c r="K277" i="3"/>
  <c r="J277" i="3"/>
  <c r="H277" i="3"/>
  <c r="E277" i="3"/>
  <c r="K276" i="3"/>
  <c r="J276" i="3"/>
  <c r="H276" i="3"/>
  <c r="E276" i="3"/>
  <c r="K275" i="3"/>
  <c r="J275" i="3"/>
  <c r="H275" i="3"/>
  <c r="E275" i="3"/>
  <c r="K274" i="3"/>
  <c r="J274" i="3"/>
  <c r="H274" i="3"/>
  <c r="E274" i="3"/>
  <c r="K273" i="3"/>
  <c r="J273" i="3"/>
  <c r="H273" i="3"/>
  <c r="E273" i="3"/>
  <c r="K272" i="3"/>
  <c r="J272" i="3"/>
  <c r="H272" i="3"/>
  <c r="E272" i="3"/>
  <c r="K271" i="3"/>
  <c r="J271" i="3"/>
  <c r="H271" i="3"/>
  <c r="E271" i="3"/>
  <c r="K270" i="3"/>
  <c r="J270" i="3"/>
  <c r="H270" i="3"/>
  <c r="E270" i="3"/>
  <c r="K269" i="3"/>
  <c r="J269" i="3"/>
  <c r="H269" i="3"/>
  <c r="E269" i="3"/>
  <c r="K268" i="3"/>
  <c r="J268" i="3"/>
  <c r="H268" i="3"/>
  <c r="E268" i="3"/>
  <c r="K267" i="3"/>
  <c r="J267" i="3"/>
  <c r="H267" i="3"/>
  <c r="E267" i="3"/>
  <c r="K266" i="3"/>
  <c r="J266" i="3"/>
  <c r="H266" i="3"/>
  <c r="E266" i="3"/>
  <c r="K265" i="3"/>
  <c r="J265" i="3"/>
  <c r="H265" i="3"/>
  <c r="E265" i="3"/>
  <c r="K264" i="3"/>
  <c r="J264" i="3"/>
  <c r="H264" i="3"/>
  <c r="E264" i="3"/>
  <c r="K263" i="3"/>
  <c r="J263" i="3"/>
  <c r="H263" i="3"/>
  <c r="E263" i="3"/>
  <c r="K262" i="3"/>
  <c r="J262" i="3"/>
  <c r="H262" i="3"/>
  <c r="E262" i="3"/>
  <c r="K261" i="3"/>
  <c r="J261" i="3"/>
  <c r="H261" i="3"/>
  <c r="E261" i="3"/>
  <c r="K260" i="3"/>
  <c r="J260" i="3"/>
  <c r="H260" i="3"/>
  <c r="E260" i="3"/>
  <c r="K259" i="3"/>
  <c r="J259" i="3"/>
  <c r="H259" i="3"/>
  <c r="E259" i="3"/>
  <c r="K258" i="3"/>
  <c r="J258" i="3"/>
  <c r="H258" i="3"/>
  <c r="E258" i="3"/>
  <c r="K257" i="3"/>
  <c r="J257" i="3"/>
  <c r="H257" i="3"/>
  <c r="E257" i="3"/>
  <c r="K256" i="3"/>
  <c r="J256" i="3"/>
  <c r="H256" i="3"/>
  <c r="E256" i="3"/>
  <c r="K255" i="3"/>
  <c r="J255" i="3"/>
  <c r="H255" i="3"/>
  <c r="E255" i="3"/>
  <c r="K254" i="3"/>
  <c r="J254" i="3"/>
  <c r="H254" i="3"/>
  <c r="E254" i="3"/>
  <c r="K253" i="3"/>
  <c r="J253" i="3"/>
  <c r="H253" i="3"/>
  <c r="F253" i="3"/>
  <c r="E253" i="3"/>
  <c r="K252" i="3"/>
  <c r="J252" i="3"/>
  <c r="H252" i="3"/>
  <c r="E252" i="3"/>
  <c r="K251" i="3"/>
  <c r="J251" i="3"/>
  <c r="H251" i="3"/>
  <c r="E251" i="3"/>
  <c r="K250" i="3"/>
  <c r="J250" i="3"/>
  <c r="H250" i="3"/>
  <c r="E250" i="3"/>
  <c r="K249" i="3"/>
  <c r="J249" i="3"/>
  <c r="H249" i="3"/>
  <c r="E249" i="3"/>
  <c r="K248" i="3"/>
  <c r="J248" i="3"/>
  <c r="H248" i="3"/>
  <c r="E248" i="3"/>
  <c r="K247" i="3"/>
  <c r="J247" i="3"/>
  <c r="H247" i="3"/>
  <c r="E247" i="3"/>
  <c r="K246" i="3"/>
  <c r="J246" i="3"/>
  <c r="H246" i="3"/>
  <c r="E246" i="3"/>
  <c r="K245" i="3"/>
  <c r="J245" i="3"/>
  <c r="H245" i="3"/>
  <c r="E245" i="3"/>
  <c r="K244" i="3"/>
  <c r="J244" i="3"/>
  <c r="H244" i="3"/>
  <c r="E244" i="3"/>
  <c r="K243" i="3"/>
  <c r="J243" i="3"/>
  <c r="H243" i="3"/>
  <c r="E243" i="3"/>
  <c r="K242" i="3"/>
  <c r="J242" i="3"/>
  <c r="H242" i="3"/>
  <c r="E242" i="3"/>
  <c r="K241" i="3"/>
  <c r="J241" i="3"/>
  <c r="H241" i="3"/>
  <c r="E241" i="3"/>
  <c r="K240" i="3"/>
  <c r="J240" i="3"/>
  <c r="H240" i="3"/>
  <c r="E240" i="3"/>
  <c r="K239" i="3"/>
  <c r="J239" i="3"/>
  <c r="H239" i="3"/>
  <c r="E239" i="3"/>
  <c r="K238" i="3"/>
  <c r="J238" i="3"/>
  <c r="H238" i="3"/>
  <c r="E238" i="3"/>
  <c r="K237" i="3"/>
  <c r="J237" i="3"/>
  <c r="H237" i="3"/>
  <c r="E237" i="3"/>
  <c r="K236" i="3"/>
  <c r="J236" i="3"/>
  <c r="H236" i="3"/>
  <c r="E236" i="3"/>
  <c r="K235" i="3"/>
  <c r="J235" i="3"/>
  <c r="H235" i="3"/>
  <c r="E235" i="3"/>
  <c r="K234" i="3"/>
  <c r="J234" i="3"/>
  <c r="H234" i="3"/>
  <c r="E234" i="3"/>
  <c r="K233" i="3"/>
  <c r="J233" i="3"/>
  <c r="H233" i="3"/>
  <c r="E233" i="3"/>
  <c r="K232" i="3"/>
  <c r="J232" i="3"/>
  <c r="H232" i="3"/>
  <c r="E232" i="3"/>
  <c r="K231" i="3"/>
  <c r="J231" i="3"/>
  <c r="H231" i="3"/>
  <c r="E231" i="3"/>
  <c r="K230" i="3"/>
  <c r="J230" i="3"/>
  <c r="H230" i="3"/>
  <c r="E230" i="3"/>
  <c r="K229" i="3"/>
  <c r="J229" i="3"/>
  <c r="H229" i="3"/>
  <c r="E229" i="3"/>
  <c r="K228" i="3"/>
  <c r="J228" i="3"/>
  <c r="H228" i="3"/>
  <c r="E228" i="3"/>
  <c r="K227" i="3"/>
  <c r="J227" i="3"/>
  <c r="H227" i="3"/>
  <c r="E227" i="3"/>
  <c r="K226" i="3"/>
  <c r="J226" i="3"/>
  <c r="H226" i="3"/>
  <c r="E226" i="3"/>
  <c r="K225" i="3"/>
  <c r="J225" i="3"/>
  <c r="H225" i="3"/>
  <c r="E225" i="3"/>
  <c r="K224" i="3"/>
  <c r="J224" i="3"/>
  <c r="H224" i="3"/>
  <c r="E224" i="3"/>
  <c r="K223" i="3"/>
  <c r="J223" i="3"/>
  <c r="H223" i="3"/>
  <c r="E223" i="3"/>
  <c r="K222" i="3"/>
  <c r="J222" i="3"/>
  <c r="H222" i="3"/>
  <c r="F222" i="3"/>
  <c r="E222" i="3"/>
  <c r="K221" i="3"/>
  <c r="J221" i="3"/>
  <c r="H221" i="3"/>
  <c r="E221" i="3"/>
  <c r="K220" i="3"/>
  <c r="J220" i="3"/>
  <c r="H220" i="3"/>
  <c r="E220" i="3"/>
  <c r="K219" i="3"/>
  <c r="J219" i="3"/>
  <c r="H219" i="3"/>
  <c r="E219" i="3"/>
  <c r="K218" i="3"/>
  <c r="J218" i="3"/>
  <c r="H218" i="3"/>
  <c r="E218" i="3"/>
  <c r="K217" i="3"/>
  <c r="J217" i="3"/>
  <c r="H217" i="3"/>
  <c r="E217" i="3"/>
  <c r="K216" i="3"/>
  <c r="J216" i="3"/>
  <c r="H216" i="3"/>
  <c r="E216" i="3"/>
  <c r="K215" i="3"/>
  <c r="J215" i="3"/>
  <c r="H215" i="3"/>
  <c r="E215" i="3"/>
  <c r="K214" i="3"/>
  <c r="J214" i="3"/>
  <c r="H214" i="3"/>
  <c r="E214" i="3"/>
  <c r="K213" i="3"/>
  <c r="J213" i="3"/>
  <c r="H213" i="3"/>
  <c r="E213" i="3"/>
  <c r="K212" i="3"/>
  <c r="J212" i="3"/>
  <c r="H212" i="3"/>
  <c r="E212" i="3"/>
  <c r="K211" i="3"/>
  <c r="J211" i="3"/>
  <c r="H211" i="3"/>
  <c r="E211" i="3"/>
  <c r="K210" i="3"/>
  <c r="J210" i="3"/>
  <c r="H210" i="3"/>
  <c r="E210" i="3"/>
  <c r="K209" i="3"/>
  <c r="J209" i="3"/>
  <c r="H209" i="3"/>
  <c r="E209" i="3"/>
  <c r="K208" i="3"/>
  <c r="J208" i="3"/>
  <c r="H208" i="3"/>
  <c r="E208" i="3"/>
  <c r="K207" i="3"/>
  <c r="J207" i="3"/>
  <c r="H207" i="3"/>
  <c r="E207" i="3"/>
  <c r="K206" i="3"/>
  <c r="J206" i="3"/>
  <c r="H206" i="3"/>
  <c r="E206" i="3"/>
  <c r="K205" i="3"/>
  <c r="J205" i="3"/>
  <c r="H205" i="3"/>
  <c r="E205" i="3"/>
  <c r="K204" i="3"/>
  <c r="J204" i="3"/>
  <c r="H204" i="3"/>
  <c r="E204" i="3"/>
  <c r="K203" i="3"/>
  <c r="J203" i="3"/>
  <c r="H203" i="3"/>
  <c r="E203" i="3"/>
  <c r="K202" i="3"/>
  <c r="J202" i="3"/>
  <c r="H202" i="3"/>
  <c r="E202" i="3"/>
  <c r="K201" i="3"/>
  <c r="J201" i="3"/>
  <c r="H201" i="3"/>
  <c r="E201" i="3"/>
  <c r="K200" i="3"/>
  <c r="J200" i="3"/>
  <c r="H200" i="3"/>
  <c r="E200" i="3"/>
  <c r="K199" i="3"/>
  <c r="J199" i="3"/>
  <c r="H199" i="3"/>
  <c r="E199" i="3"/>
  <c r="K198" i="3"/>
  <c r="J198" i="3"/>
  <c r="H198" i="3"/>
  <c r="E198" i="3"/>
  <c r="K197" i="3"/>
  <c r="J197" i="3"/>
  <c r="H197" i="3"/>
  <c r="E197" i="3"/>
  <c r="K196" i="3"/>
  <c r="J196" i="3"/>
  <c r="H196" i="3"/>
  <c r="E196" i="3"/>
  <c r="K195" i="3"/>
  <c r="J195" i="3"/>
  <c r="H195" i="3"/>
  <c r="E195" i="3"/>
  <c r="K194" i="3"/>
  <c r="J194" i="3"/>
  <c r="H194" i="3"/>
  <c r="E194" i="3"/>
  <c r="K193" i="3"/>
  <c r="J193" i="3"/>
  <c r="H193" i="3"/>
  <c r="E193" i="3"/>
  <c r="K192" i="3"/>
  <c r="J192" i="3"/>
  <c r="H192" i="3"/>
  <c r="E192" i="3"/>
  <c r="K191" i="3"/>
  <c r="J191" i="3"/>
  <c r="H191" i="3"/>
  <c r="F191" i="3"/>
  <c r="E191" i="3"/>
  <c r="K190" i="3"/>
  <c r="J190" i="3"/>
  <c r="H190" i="3"/>
  <c r="E190" i="3"/>
  <c r="K189" i="3"/>
  <c r="J189" i="3"/>
  <c r="H189" i="3"/>
  <c r="E189" i="3"/>
  <c r="K188" i="3"/>
  <c r="J188" i="3"/>
  <c r="H188" i="3"/>
  <c r="E188" i="3"/>
  <c r="K187" i="3"/>
  <c r="J187" i="3"/>
  <c r="H187" i="3"/>
  <c r="E187" i="3"/>
  <c r="K186" i="3"/>
  <c r="J186" i="3"/>
  <c r="H186" i="3"/>
  <c r="E186" i="3"/>
  <c r="K185" i="3"/>
  <c r="J185" i="3"/>
  <c r="H185" i="3"/>
  <c r="E185" i="3"/>
  <c r="K184" i="3"/>
  <c r="J184" i="3"/>
  <c r="H184" i="3"/>
  <c r="E184" i="3"/>
  <c r="K183" i="3"/>
  <c r="J183" i="3"/>
  <c r="H183" i="3"/>
  <c r="E183" i="3"/>
  <c r="K182" i="3"/>
  <c r="J182" i="3"/>
  <c r="H182" i="3"/>
  <c r="E182" i="3"/>
  <c r="K181" i="3"/>
  <c r="J181" i="3"/>
  <c r="H181" i="3"/>
  <c r="E181" i="3"/>
  <c r="K180" i="3"/>
  <c r="J180" i="3"/>
  <c r="H180" i="3"/>
  <c r="E180" i="3"/>
  <c r="K179" i="3"/>
  <c r="J179" i="3"/>
  <c r="H179" i="3"/>
  <c r="E179" i="3"/>
  <c r="K178" i="3"/>
  <c r="J178" i="3"/>
  <c r="H178" i="3"/>
  <c r="E178" i="3"/>
  <c r="K177" i="3"/>
  <c r="J177" i="3"/>
  <c r="H177" i="3"/>
  <c r="E177" i="3"/>
  <c r="K176" i="3"/>
  <c r="J176" i="3"/>
  <c r="H176" i="3"/>
  <c r="E176" i="3"/>
  <c r="K175" i="3"/>
  <c r="J175" i="3"/>
  <c r="H175" i="3"/>
  <c r="E175" i="3"/>
  <c r="K174" i="3"/>
  <c r="J174" i="3"/>
  <c r="H174" i="3"/>
  <c r="E174" i="3"/>
  <c r="K173" i="3"/>
  <c r="J173" i="3"/>
  <c r="H173" i="3"/>
  <c r="E173" i="3"/>
  <c r="K172" i="3"/>
  <c r="J172" i="3"/>
  <c r="H172" i="3"/>
  <c r="E172" i="3"/>
  <c r="K171" i="3"/>
  <c r="J171" i="3"/>
  <c r="H171" i="3"/>
  <c r="E171" i="3"/>
  <c r="K170" i="3"/>
  <c r="J170" i="3"/>
  <c r="H170" i="3"/>
  <c r="E170" i="3"/>
  <c r="K169" i="3"/>
  <c r="J169" i="3"/>
  <c r="H169" i="3"/>
  <c r="E169" i="3"/>
  <c r="K168" i="3"/>
  <c r="J168" i="3"/>
  <c r="H168" i="3"/>
  <c r="E168" i="3"/>
  <c r="K167" i="3"/>
  <c r="J167" i="3"/>
  <c r="H167" i="3"/>
  <c r="E167" i="3"/>
  <c r="K166" i="3"/>
  <c r="J166" i="3"/>
  <c r="H166" i="3"/>
  <c r="E166" i="3"/>
  <c r="K165" i="3"/>
  <c r="J165" i="3"/>
  <c r="H165" i="3"/>
  <c r="E165" i="3"/>
  <c r="K164" i="3"/>
  <c r="J164" i="3"/>
  <c r="H164" i="3"/>
  <c r="E164" i="3"/>
  <c r="K163" i="3"/>
  <c r="J163" i="3"/>
  <c r="H163" i="3"/>
  <c r="E163" i="3"/>
  <c r="K162" i="3"/>
  <c r="J162" i="3"/>
  <c r="H162" i="3"/>
  <c r="E162" i="3"/>
  <c r="K161" i="3"/>
  <c r="J161" i="3"/>
  <c r="H161" i="3"/>
  <c r="E161" i="3"/>
  <c r="K160" i="3"/>
  <c r="J160" i="3"/>
  <c r="H160" i="3"/>
  <c r="F160" i="3"/>
  <c r="E160" i="3"/>
  <c r="K159" i="3"/>
  <c r="J159" i="3"/>
  <c r="H159" i="3"/>
  <c r="E159" i="3"/>
  <c r="K158" i="3"/>
  <c r="J158" i="3"/>
  <c r="H158" i="3"/>
  <c r="E158" i="3"/>
  <c r="K157" i="3"/>
  <c r="J157" i="3"/>
  <c r="H157" i="3"/>
  <c r="E157" i="3"/>
  <c r="K156" i="3"/>
  <c r="J156" i="3"/>
  <c r="H156" i="3"/>
  <c r="E156" i="3"/>
  <c r="K155" i="3"/>
  <c r="J155" i="3"/>
  <c r="H155" i="3"/>
  <c r="E155" i="3"/>
  <c r="K154" i="3"/>
  <c r="J154" i="3"/>
  <c r="H154" i="3"/>
  <c r="E154" i="3"/>
  <c r="K153" i="3"/>
  <c r="J153" i="3"/>
  <c r="H153" i="3"/>
  <c r="E153" i="3"/>
  <c r="K152" i="3"/>
  <c r="J152" i="3"/>
  <c r="H152" i="3"/>
  <c r="E152" i="3"/>
  <c r="K151" i="3"/>
  <c r="J151" i="3"/>
  <c r="H151" i="3"/>
  <c r="E151" i="3"/>
  <c r="K150" i="3"/>
  <c r="J150" i="3"/>
  <c r="H150" i="3"/>
  <c r="E150" i="3"/>
  <c r="K149" i="3"/>
  <c r="J149" i="3"/>
  <c r="H149" i="3"/>
  <c r="E149" i="3"/>
  <c r="K148" i="3"/>
  <c r="J148" i="3"/>
  <c r="H148" i="3"/>
  <c r="E148" i="3"/>
  <c r="K147" i="3"/>
  <c r="J147" i="3"/>
  <c r="H147" i="3"/>
  <c r="E147" i="3"/>
  <c r="K146" i="3"/>
  <c r="J146" i="3"/>
  <c r="H146" i="3"/>
  <c r="E146" i="3"/>
  <c r="K145" i="3"/>
  <c r="J145" i="3"/>
  <c r="H145" i="3"/>
  <c r="E145" i="3"/>
  <c r="K144" i="3"/>
  <c r="J144" i="3"/>
  <c r="H144" i="3"/>
  <c r="E144" i="3"/>
  <c r="K143" i="3"/>
  <c r="J143" i="3"/>
  <c r="H143" i="3"/>
  <c r="E143" i="3"/>
  <c r="K142" i="3"/>
  <c r="J142" i="3"/>
  <c r="H142" i="3"/>
  <c r="E142" i="3"/>
  <c r="K141" i="3"/>
  <c r="J141" i="3"/>
  <c r="H141" i="3"/>
  <c r="E141" i="3"/>
  <c r="K140" i="3"/>
  <c r="J140" i="3"/>
  <c r="H140" i="3"/>
  <c r="E140" i="3"/>
  <c r="K139" i="3"/>
  <c r="J139" i="3"/>
  <c r="H139" i="3"/>
  <c r="E139" i="3"/>
  <c r="K138" i="3"/>
  <c r="J138" i="3"/>
  <c r="H138" i="3"/>
  <c r="E138" i="3"/>
  <c r="K137" i="3"/>
  <c r="J137" i="3"/>
  <c r="H137" i="3"/>
  <c r="E137" i="3"/>
  <c r="K136" i="3"/>
  <c r="J136" i="3"/>
  <c r="H136" i="3"/>
  <c r="E136" i="3"/>
  <c r="K135" i="3"/>
  <c r="J135" i="3"/>
  <c r="H135" i="3"/>
  <c r="E135" i="3"/>
  <c r="K134" i="3"/>
  <c r="J134" i="3"/>
  <c r="H134" i="3"/>
  <c r="E134" i="3"/>
  <c r="K133" i="3"/>
  <c r="J133" i="3"/>
  <c r="H133" i="3"/>
  <c r="E133" i="3"/>
  <c r="K132" i="3"/>
  <c r="J132" i="3"/>
  <c r="H132" i="3"/>
  <c r="E132" i="3"/>
  <c r="K131" i="3"/>
  <c r="J131" i="3"/>
  <c r="H131" i="3"/>
  <c r="E131" i="3"/>
  <c r="K130" i="3"/>
  <c r="J130" i="3"/>
  <c r="H130" i="3"/>
  <c r="E130" i="3"/>
  <c r="K129" i="3"/>
  <c r="J129" i="3"/>
  <c r="H129" i="3"/>
  <c r="F129" i="3"/>
  <c r="E129" i="3"/>
  <c r="K128" i="3"/>
  <c r="J128" i="3"/>
  <c r="H128" i="3"/>
  <c r="G128" i="3"/>
  <c r="E128" i="3"/>
  <c r="K127" i="3"/>
  <c r="J127" i="3"/>
  <c r="H127" i="3"/>
  <c r="G127" i="3"/>
  <c r="E127" i="3"/>
  <c r="K126" i="3"/>
  <c r="J126" i="3"/>
  <c r="H126" i="3"/>
  <c r="G126" i="3"/>
  <c r="E126" i="3"/>
  <c r="K125" i="3"/>
  <c r="J125" i="3"/>
  <c r="H125" i="3"/>
  <c r="G125" i="3"/>
  <c r="E125" i="3"/>
  <c r="K124" i="3"/>
  <c r="J124" i="3"/>
  <c r="H124" i="3"/>
  <c r="G124" i="3"/>
  <c r="E124" i="3"/>
  <c r="K123" i="3"/>
  <c r="J123" i="3"/>
  <c r="H123" i="3"/>
  <c r="G123" i="3"/>
  <c r="E123" i="3"/>
  <c r="K122" i="3"/>
  <c r="J122" i="3"/>
  <c r="H122" i="3"/>
  <c r="G122" i="3"/>
  <c r="E122" i="3"/>
  <c r="K121" i="3"/>
  <c r="J121" i="3"/>
  <c r="H121" i="3"/>
  <c r="G121" i="3"/>
  <c r="E121" i="3"/>
  <c r="K120" i="3"/>
  <c r="J120" i="3"/>
  <c r="H120" i="3"/>
  <c r="G120" i="3"/>
  <c r="E120" i="3"/>
  <c r="K119" i="3"/>
  <c r="J119" i="3"/>
  <c r="H119" i="3"/>
  <c r="G119" i="3"/>
  <c r="E119" i="3"/>
  <c r="K118" i="3"/>
  <c r="J118" i="3"/>
  <c r="H118" i="3"/>
  <c r="G118" i="3"/>
  <c r="E118" i="3"/>
  <c r="K117" i="3"/>
  <c r="J117" i="3"/>
  <c r="H117" i="3"/>
  <c r="G117" i="3"/>
  <c r="E117" i="3"/>
  <c r="K116" i="3"/>
  <c r="J116" i="3"/>
  <c r="H116" i="3"/>
  <c r="G116" i="3"/>
  <c r="E116" i="3"/>
  <c r="K115" i="3"/>
  <c r="J115" i="3"/>
  <c r="H115" i="3"/>
  <c r="G115" i="3"/>
  <c r="E115" i="3"/>
  <c r="K114" i="3"/>
  <c r="J114" i="3"/>
  <c r="H114" i="3"/>
  <c r="G114" i="3"/>
  <c r="E114" i="3"/>
  <c r="K113" i="3"/>
  <c r="J113" i="3"/>
  <c r="H113" i="3"/>
  <c r="G113" i="3"/>
  <c r="E113" i="3"/>
  <c r="K112" i="3"/>
  <c r="J112" i="3"/>
  <c r="H112" i="3"/>
  <c r="G112" i="3"/>
  <c r="E112" i="3"/>
  <c r="K111" i="3"/>
  <c r="J111" i="3"/>
  <c r="H111" i="3"/>
  <c r="G111" i="3"/>
  <c r="E111" i="3"/>
  <c r="K110" i="3"/>
  <c r="J110" i="3"/>
  <c r="H110" i="3"/>
  <c r="G110" i="3"/>
  <c r="E110" i="3"/>
  <c r="K109" i="3"/>
  <c r="J109" i="3"/>
  <c r="H109" i="3"/>
  <c r="G109" i="3"/>
  <c r="E109" i="3"/>
  <c r="K108" i="3"/>
  <c r="J108" i="3"/>
  <c r="H108" i="3"/>
  <c r="G108" i="3"/>
  <c r="E108" i="3"/>
  <c r="K107" i="3"/>
  <c r="J107" i="3"/>
  <c r="H107" i="3"/>
  <c r="G107" i="3"/>
  <c r="E107" i="3"/>
  <c r="K106" i="3"/>
  <c r="J106" i="3"/>
  <c r="H106" i="3"/>
  <c r="G106" i="3"/>
  <c r="E106" i="3"/>
  <c r="K105" i="3"/>
  <c r="J105" i="3"/>
  <c r="H105" i="3"/>
  <c r="G105" i="3"/>
  <c r="E105" i="3"/>
  <c r="K104" i="3"/>
  <c r="J104" i="3"/>
  <c r="H104" i="3"/>
  <c r="G104" i="3"/>
  <c r="E104" i="3"/>
  <c r="K103" i="3"/>
  <c r="J103" i="3"/>
  <c r="H103" i="3"/>
  <c r="G103" i="3"/>
  <c r="E103" i="3"/>
  <c r="K102" i="3"/>
  <c r="J102" i="3"/>
  <c r="H102" i="3"/>
  <c r="G102" i="3"/>
  <c r="E102" i="3"/>
  <c r="K101" i="3"/>
  <c r="J101" i="3"/>
  <c r="H101" i="3"/>
  <c r="G101" i="3"/>
  <c r="E101" i="3"/>
  <c r="K100" i="3"/>
  <c r="J100" i="3"/>
  <c r="H100" i="3"/>
  <c r="G100" i="3"/>
  <c r="E100" i="3"/>
  <c r="K99" i="3"/>
  <c r="J99" i="3"/>
  <c r="H99" i="3"/>
  <c r="G99" i="3"/>
  <c r="E99" i="3"/>
  <c r="K98" i="3"/>
  <c r="J98" i="3"/>
  <c r="H98" i="3"/>
  <c r="G98" i="3"/>
  <c r="F98" i="3"/>
  <c r="I98" i="3" s="1"/>
  <c r="E98" i="3"/>
  <c r="K97" i="3"/>
  <c r="J97" i="3"/>
  <c r="H97" i="3"/>
  <c r="G97" i="3"/>
  <c r="E97" i="3"/>
  <c r="K96" i="3"/>
  <c r="J96" i="3"/>
  <c r="H96" i="3"/>
  <c r="G96" i="3"/>
  <c r="E96" i="3"/>
  <c r="K95" i="3"/>
  <c r="J95" i="3"/>
  <c r="H95" i="3"/>
  <c r="G95" i="3"/>
  <c r="E95" i="3"/>
  <c r="K94" i="3"/>
  <c r="J94" i="3"/>
  <c r="H94" i="3"/>
  <c r="G94" i="3"/>
  <c r="E94" i="3"/>
  <c r="K93" i="3"/>
  <c r="J93" i="3"/>
  <c r="H93" i="3"/>
  <c r="G93" i="3"/>
  <c r="E93" i="3"/>
  <c r="K92" i="3"/>
  <c r="J92" i="3"/>
  <c r="H92" i="3"/>
  <c r="G92" i="3"/>
  <c r="E92" i="3"/>
  <c r="K91" i="3"/>
  <c r="J91" i="3"/>
  <c r="H91" i="3"/>
  <c r="G91" i="3"/>
  <c r="E91" i="3"/>
  <c r="K90" i="3"/>
  <c r="J90" i="3"/>
  <c r="H90" i="3"/>
  <c r="G90" i="3"/>
  <c r="E90" i="3"/>
  <c r="K89" i="3"/>
  <c r="J89" i="3"/>
  <c r="H89" i="3"/>
  <c r="G89" i="3"/>
  <c r="E89" i="3"/>
  <c r="K88" i="3"/>
  <c r="J88" i="3"/>
  <c r="H88" i="3"/>
  <c r="G88" i="3"/>
  <c r="E88" i="3"/>
  <c r="K87" i="3"/>
  <c r="J87" i="3"/>
  <c r="H87" i="3"/>
  <c r="G87" i="3"/>
  <c r="E87" i="3"/>
  <c r="K86" i="3"/>
  <c r="J86" i="3"/>
  <c r="H86" i="3"/>
  <c r="G86" i="3"/>
  <c r="E86" i="3"/>
  <c r="K85" i="3"/>
  <c r="J85" i="3"/>
  <c r="H85" i="3"/>
  <c r="G85" i="3"/>
  <c r="E85" i="3"/>
  <c r="K84" i="3"/>
  <c r="J84" i="3"/>
  <c r="H84" i="3"/>
  <c r="G84" i="3"/>
  <c r="E84" i="3"/>
  <c r="K83" i="3"/>
  <c r="J83" i="3"/>
  <c r="H83" i="3"/>
  <c r="G83" i="3"/>
  <c r="E83" i="3"/>
  <c r="K82" i="3"/>
  <c r="J82" i="3"/>
  <c r="H82" i="3"/>
  <c r="G82" i="3"/>
  <c r="E82" i="3"/>
  <c r="K81" i="3"/>
  <c r="J81" i="3"/>
  <c r="H81" i="3"/>
  <c r="G81" i="3"/>
  <c r="E81" i="3"/>
  <c r="K80" i="3"/>
  <c r="J80" i="3"/>
  <c r="H80" i="3"/>
  <c r="G80" i="3"/>
  <c r="E80" i="3"/>
  <c r="K79" i="3"/>
  <c r="J79" i="3"/>
  <c r="H79" i="3"/>
  <c r="G79" i="3"/>
  <c r="E79" i="3"/>
  <c r="K78" i="3"/>
  <c r="J78" i="3"/>
  <c r="H78" i="3"/>
  <c r="G78" i="3"/>
  <c r="E78" i="3"/>
  <c r="K77" i="3"/>
  <c r="J77" i="3"/>
  <c r="H77" i="3"/>
  <c r="G77" i="3"/>
  <c r="E77" i="3"/>
  <c r="K76" i="3"/>
  <c r="J76" i="3"/>
  <c r="H76" i="3"/>
  <c r="G76" i="3"/>
  <c r="E76" i="3"/>
  <c r="K75" i="3"/>
  <c r="J75" i="3"/>
  <c r="H75" i="3"/>
  <c r="G75" i="3"/>
  <c r="E75" i="3"/>
  <c r="K74" i="3"/>
  <c r="J74" i="3"/>
  <c r="H74" i="3"/>
  <c r="G74" i="3"/>
  <c r="E74" i="3"/>
  <c r="K73" i="3"/>
  <c r="J73" i="3"/>
  <c r="H73" i="3"/>
  <c r="G73" i="3"/>
  <c r="E73" i="3"/>
  <c r="K72" i="3"/>
  <c r="J72" i="3"/>
  <c r="H72" i="3"/>
  <c r="G72" i="3"/>
  <c r="E72" i="3"/>
  <c r="K71" i="3"/>
  <c r="J71" i="3"/>
  <c r="H71" i="3"/>
  <c r="G71" i="3"/>
  <c r="E71" i="3"/>
  <c r="K70" i="3"/>
  <c r="J70" i="3"/>
  <c r="H70" i="3"/>
  <c r="G70" i="3"/>
  <c r="E70" i="3"/>
  <c r="K69" i="3"/>
  <c r="J69" i="3"/>
  <c r="H69" i="3"/>
  <c r="G69" i="3"/>
  <c r="E69" i="3"/>
  <c r="K68" i="3"/>
  <c r="J68" i="3"/>
  <c r="H68" i="3"/>
  <c r="G68" i="3"/>
  <c r="E68" i="3"/>
  <c r="K67" i="3"/>
  <c r="J67" i="3"/>
  <c r="H67" i="3"/>
  <c r="G67" i="3"/>
  <c r="F67" i="3"/>
  <c r="I67" i="3" s="1"/>
  <c r="E67" i="3"/>
  <c r="K66" i="3"/>
  <c r="J66" i="3"/>
  <c r="H66" i="3"/>
  <c r="G66" i="3"/>
  <c r="E66" i="3"/>
  <c r="K65" i="3"/>
  <c r="J65" i="3"/>
  <c r="H65" i="3"/>
  <c r="G65" i="3"/>
  <c r="E65" i="3"/>
  <c r="K64" i="3"/>
  <c r="J64" i="3"/>
  <c r="H64" i="3"/>
  <c r="G64" i="3"/>
  <c r="E64" i="3"/>
  <c r="K63" i="3"/>
  <c r="J63" i="3"/>
  <c r="H63" i="3"/>
  <c r="G63" i="3"/>
  <c r="E63" i="3"/>
  <c r="K62" i="3"/>
  <c r="J62" i="3"/>
  <c r="H62" i="3"/>
  <c r="G62" i="3"/>
  <c r="E62" i="3"/>
  <c r="K61" i="3"/>
  <c r="J61" i="3"/>
  <c r="H61" i="3"/>
  <c r="G61" i="3"/>
  <c r="E61" i="3"/>
  <c r="K60" i="3"/>
  <c r="J60" i="3"/>
  <c r="H60" i="3"/>
  <c r="G60" i="3"/>
  <c r="E60" i="3"/>
  <c r="K59" i="3"/>
  <c r="J59" i="3"/>
  <c r="H59" i="3"/>
  <c r="G59" i="3"/>
  <c r="E59" i="3"/>
  <c r="K58" i="3"/>
  <c r="J58" i="3"/>
  <c r="H58" i="3"/>
  <c r="G58" i="3"/>
  <c r="E58" i="3"/>
  <c r="K57" i="3"/>
  <c r="J57" i="3"/>
  <c r="H57" i="3"/>
  <c r="G57" i="3"/>
  <c r="E57" i="3"/>
  <c r="K56" i="3"/>
  <c r="J56" i="3"/>
  <c r="H56" i="3"/>
  <c r="G56" i="3"/>
  <c r="E56" i="3"/>
  <c r="K55" i="3"/>
  <c r="J55" i="3"/>
  <c r="H55" i="3"/>
  <c r="G55" i="3"/>
  <c r="E55" i="3"/>
  <c r="K54" i="3"/>
  <c r="J54" i="3"/>
  <c r="H54" i="3"/>
  <c r="G54" i="3"/>
  <c r="E54" i="3"/>
  <c r="K53" i="3"/>
  <c r="J53" i="3"/>
  <c r="H53" i="3"/>
  <c r="G53" i="3"/>
  <c r="E53" i="3"/>
  <c r="K52" i="3"/>
  <c r="J52" i="3"/>
  <c r="H52" i="3"/>
  <c r="G52" i="3"/>
  <c r="E52" i="3"/>
  <c r="K51" i="3"/>
  <c r="J51" i="3"/>
  <c r="H51" i="3"/>
  <c r="G51" i="3"/>
  <c r="E51" i="3"/>
  <c r="K50" i="3"/>
  <c r="J50" i="3"/>
  <c r="H50" i="3"/>
  <c r="G50" i="3"/>
  <c r="E50" i="3"/>
  <c r="K49" i="3"/>
  <c r="J49" i="3"/>
  <c r="H49" i="3"/>
  <c r="G49" i="3"/>
  <c r="E49" i="3"/>
  <c r="K48" i="3"/>
  <c r="J48" i="3"/>
  <c r="H48" i="3"/>
  <c r="G48" i="3"/>
  <c r="E48" i="3"/>
  <c r="K47" i="3"/>
  <c r="J47" i="3"/>
  <c r="H47" i="3"/>
  <c r="G47" i="3"/>
  <c r="E47" i="3"/>
  <c r="K46" i="3"/>
  <c r="J46" i="3"/>
  <c r="H46" i="3"/>
  <c r="G46" i="3"/>
  <c r="E46" i="3"/>
  <c r="K45" i="3"/>
  <c r="J45" i="3"/>
  <c r="H45" i="3"/>
  <c r="G45" i="3"/>
  <c r="E45" i="3"/>
  <c r="K44" i="3"/>
  <c r="J44" i="3"/>
  <c r="H44" i="3"/>
  <c r="G44" i="3"/>
  <c r="E44" i="3"/>
  <c r="K43" i="3"/>
  <c r="J43" i="3"/>
  <c r="H43" i="3"/>
  <c r="G43" i="3"/>
  <c r="E43" i="3"/>
  <c r="K42" i="3"/>
  <c r="J42" i="3"/>
  <c r="H42" i="3"/>
  <c r="G42" i="3"/>
  <c r="E42" i="3"/>
  <c r="K41" i="3"/>
  <c r="J41" i="3"/>
  <c r="H41" i="3"/>
  <c r="G41" i="3"/>
  <c r="E41" i="3"/>
  <c r="K40" i="3"/>
  <c r="J40" i="3"/>
  <c r="H40" i="3"/>
  <c r="G40" i="3"/>
  <c r="E40" i="3"/>
  <c r="K39" i="3"/>
  <c r="J39" i="3"/>
  <c r="H39" i="3"/>
  <c r="G39" i="3"/>
  <c r="E39" i="3"/>
  <c r="K38" i="3"/>
  <c r="J38" i="3"/>
  <c r="H38" i="3"/>
  <c r="G38" i="3"/>
  <c r="E38" i="3"/>
  <c r="K37" i="3"/>
  <c r="J37" i="3"/>
  <c r="H37" i="3"/>
  <c r="G37" i="3"/>
  <c r="E37" i="3"/>
  <c r="K36" i="3"/>
  <c r="J36" i="3"/>
  <c r="H36" i="3"/>
  <c r="G36" i="3"/>
  <c r="F36" i="3"/>
  <c r="I36" i="3" s="1"/>
  <c r="E36" i="3"/>
  <c r="K35" i="3"/>
  <c r="J35" i="3"/>
  <c r="H35" i="3"/>
  <c r="G35" i="3"/>
  <c r="E35" i="3"/>
  <c r="K34" i="3"/>
  <c r="J34" i="3"/>
  <c r="H34" i="3"/>
  <c r="G34" i="3"/>
  <c r="E34" i="3"/>
  <c r="K33" i="3"/>
  <c r="J33" i="3"/>
  <c r="H33" i="3"/>
  <c r="G33" i="3"/>
  <c r="E33" i="3"/>
  <c r="K32" i="3"/>
  <c r="J32" i="3"/>
  <c r="H32" i="3"/>
  <c r="G32" i="3"/>
  <c r="E32" i="3"/>
  <c r="K31" i="3"/>
  <c r="J31" i="3"/>
  <c r="H31" i="3"/>
  <c r="G31" i="3"/>
  <c r="E31" i="3"/>
  <c r="K30" i="3"/>
  <c r="J30" i="3"/>
  <c r="H30" i="3"/>
  <c r="G30" i="3"/>
  <c r="E30" i="3"/>
  <c r="K29" i="3"/>
  <c r="J29" i="3"/>
  <c r="H29" i="3"/>
  <c r="G29" i="3"/>
  <c r="E29" i="3"/>
  <c r="K28" i="3"/>
  <c r="J28" i="3"/>
  <c r="H28" i="3"/>
  <c r="G28" i="3"/>
  <c r="E28" i="3"/>
  <c r="K27" i="3"/>
  <c r="J27" i="3"/>
  <c r="H27" i="3"/>
  <c r="G27" i="3"/>
  <c r="E27" i="3"/>
  <c r="K26" i="3"/>
  <c r="J26" i="3"/>
  <c r="H26" i="3"/>
  <c r="G26" i="3"/>
  <c r="E26" i="3"/>
  <c r="K25" i="3"/>
  <c r="J25" i="3"/>
  <c r="H25" i="3"/>
  <c r="G25" i="3"/>
  <c r="E25" i="3"/>
  <c r="K24" i="3"/>
  <c r="J24" i="3"/>
  <c r="H24" i="3"/>
  <c r="G24" i="3"/>
  <c r="E24" i="3"/>
  <c r="K23" i="3"/>
  <c r="J23" i="3"/>
  <c r="H23" i="3"/>
  <c r="G23" i="3"/>
  <c r="E23" i="3"/>
  <c r="K22" i="3"/>
  <c r="J22" i="3"/>
  <c r="H22" i="3"/>
  <c r="G22" i="3"/>
  <c r="E22" i="3"/>
  <c r="K21" i="3"/>
  <c r="J21" i="3"/>
  <c r="H21" i="3"/>
  <c r="G21" i="3"/>
  <c r="E21" i="3"/>
  <c r="K20" i="3"/>
  <c r="J20" i="3"/>
  <c r="H20" i="3"/>
  <c r="G20" i="3"/>
  <c r="E20" i="3"/>
  <c r="K19" i="3"/>
  <c r="J19" i="3"/>
  <c r="H19" i="3"/>
  <c r="G19" i="3"/>
  <c r="E19" i="3"/>
  <c r="K18" i="3"/>
  <c r="J18" i="3"/>
  <c r="H18" i="3"/>
  <c r="G18" i="3"/>
  <c r="E18" i="3"/>
  <c r="K17" i="3"/>
  <c r="J17" i="3"/>
  <c r="H17" i="3"/>
  <c r="G17" i="3"/>
  <c r="E17" i="3"/>
  <c r="K16" i="3"/>
  <c r="J16" i="3"/>
  <c r="H16" i="3"/>
  <c r="G16" i="3"/>
  <c r="E16" i="3"/>
  <c r="K15" i="3"/>
  <c r="J15" i="3"/>
  <c r="H15" i="3"/>
  <c r="G15" i="3"/>
  <c r="E15" i="3"/>
  <c r="K14" i="3"/>
  <c r="J14" i="3"/>
  <c r="H14" i="3"/>
  <c r="G14" i="3"/>
  <c r="E14" i="3"/>
  <c r="K13" i="3"/>
  <c r="J13" i="3"/>
  <c r="H13" i="3"/>
  <c r="G13" i="3"/>
  <c r="E13" i="3"/>
  <c r="K12" i="3"/>
  <c r="J12" i="3"/>
  <c r="H12" i="3"/>
  <c r="G12" i="3"/>
  <c r="E12" i="3"/>
  <c r="K11" i="3"/>
  <c r="J11" i="3"/>
  <c r="H11" i="3"/>
  <c r="G11" i="3"/>
  <c r="E11" i="3"/>
  <c r="K10" i="3"/>
  <c r="J10" i="3"/>
  <c r="H10" i="3"/>
  <c r="G10" i="3"/>
  <c r="E10" i="3"/>
  <c r="K9" i="3"/>
  <c r="J9" i="3"/>
  <c r="H9" i="3"/>
  <c r="G9" i="3"/>
  <c r="E9" i="3"/>
  <c r="K8" i="3"/>
  <c r="J8" i="3"/>
  <c r="H8" i="3"/>
  <c r="G8" i="3"/>
  <c r="E8" i="3"/>
  <c r="K7" i="3"/>
  <c r="J7" i="3"/>
  <c r="H7" i="3"/>
  <c r="G7" i="3"/>
  <c r="E7" i="3"/>
  <c r="K6" i="3"/>
  <c r="J6" i="3"/>
  <c r="H6" i="3"/>
  <c r="G6" i="3"/>
  <c r="E6" i="3"/>
  <c r="K5" i="3"/>
  <c r="J5" i="3"/>
  <c r="H5" i="3"/>
  <c r="G5" i="3"/>
  <c r="F5" i="3"/>
  <c r="I5" i="3" s="1"/>
  <c r="E5" i="3"/>
  <c r="I36" i="2"/>
  <c r="H36" i="2"/>
  <c r="G36" i="2"/>
  <c r="F36" i="2"/>
  <c r="E36" i="2"/>
  <c r="D36" i="2"/>
  <c r="AF35" i="2"/>
  <c r="V35" i="2"/>
  <c r="U35" i="2"/>
  <c r="T35" i="2"/>
  <c r="S35" i="2"/>
  <c r="R35" i="2"/>
  <c r="Q35" i="2"/>
  <c r="Z35" i="2" s="1"/>
  <c r="O35" i="2"/>
  <c r="N35" i="2"/>
  <c r="W35" i="2" s="1"/>
  <c r="M35" i="2"/>
  <c r="AA35" i="2" s="1"/>
  <c r="G252" i="3" s="1"/>
  <c r="L35" i="2"/>
  <c r="Y35" i="2" s="1"/>
  <c r="G190" i="3" s="1"/>
  <c r="K35" i="2"/>
  <c r="X35" i="2" s="1"/>
  <c r="G159" i="3" s="1"/>
  <c r="J35" i="2"/>
  <c r="AF34" i="2"/>
  <c r="V34" i="2"/>
  <c r="U34" i="2"/>
  <c r="T34" i="2"/>
  <c r="S34" i="2"/>
  <c r="R34" i="2"/>
  <c r="Q34" i="2"/>
  <c r="Z34" i="2" s="1"/>
  <c r="O34" i="2"/>
  <c r="N34" i="2"/>
  <c r="W34" i="2" s="1"/>
  <c r="M34" i="2"/>
  <c r="AA34" i="2" s="1"/>
  <c r="G251" i="3" s="1"/>
  <c r="L34" i="2"/>
  <c r="Y34" i="2" s="1"/>
  <c r="G189" i="3" s="1"/>
  <c r="K34" i="2"/>
  <c r="X34" i="2" s="1"/>
  <c r="G158" i="3" s="1"/>
  <c r="J34" i="2"/>
  <c r="AF33" i="2"/>
  <c r="V33" i="2"/>
  <c r="U33" i="2"/>
  <c r="T33" i="2"/>
  <c r="S33" i="2"/>
  <c r="R33" i="2"/>
  <c r="Q33" i="2"/>
  <c r="Z33" i="2" s="1"/>
  <c r="O33" i="2"/>
  <c r="N33" i="2"/>
  <c r="W33" i="2" s="1"/>
  <c r="M33" i="2"/>
  <c r="AA33" i="2" s="1"/>
  <c r="G250" i="3" s="1"/>
  <c r="L33" i="2"/>
  <c r="Y33" i="2" s="1"/>
  <c r="G188" i="3" s="1"/>
  <c r="K33" i="2"/>
  <c r="X33" i="2" s="1"/>
  <c r="G157" i="3" s="1"/>
  <c r="J33" i="2"/>
  <c r="AF32" i="2"/>
  <c r="V32" i="2"/>
  <c r="U32" i="2"/>
  <c r="T32" i="2"/>
  <c r="S32" i="2"/>
  <c r="R32" i="2"/>
  <c r="Q32" i="2"/>
  <c r="Z32" i="2" s="1"/>
  <c r="O32" i="2"/>
  <c r="N32" i="2"/>
  <c r="W32" i="2" s="1"/>
  <c r="M32" i="2"/>
  <c r="AA32" i="2" s="1"/>
  <c r="G249" i="3" s="1"/>
  <c r="L32" i="2"/>
  <c r="Y32" i="2" s="1"/>
  <c r="G187" i="3" s="1"/>
  <c r="K32" i="2"/>
  <c r="X32" i="2" s="1"/>
  <c r="G156" i="3" s="1"/>
  <c r="J32" i="2"/>
  <c r="AF31" i="2"/>
  <c r="V31" i="2"/>
  <c r="U31" i="2"/>
  <c r="T31" i="2"/>
  <c r="S31" i="2"/>
  <c r="R31" i="2"/>
  <c r="Q31" i="2"/>
  <c r="Z31" i="2" s="1"/>
  <c r="O31" i="2"/>
  <c r="N31" i="2"/>
  <c r="W31" i="2" s="1"/>
  <c r="M31" i="2"/>
  <c r="AA31" i="2" s="1"/>
  <c r="G248" i="3" s="1"/>
  <c r="L31" i="2"/>
  <c r="Y31" i="2" s="1"/>
  <c r="G186" i="3" s="1"/>
  <c r="K31" i="2"/>
  <c r="X31" i="2" s="1"/>
  <c r="G155" i="3" s="1"/>
  <c r="J31" i="2"/>
  <c r="AF30" i="2"/>
  <c r="V30" i="2"/>
  <c r="U30" i="2"/>
  <c r="T30" i="2"/>
  <c r="S30" i="2"/>
  <c r="R30" i="2"/>
  <c r="Q30" i="2"/>
  <c r="Z30" i="2" s="1"/>
  <c r="O30" i="2"/>
  <c r="N30" i="2"/>
  <c r="W30" i="2" s="1"/>
  <c r="M30" i="2"/>
  <c r="AA30" i="2" s="1"/>
  <c r="G247" i="3" s="1"/>
  <c r="L30" i="2"/>
  <c r="Y30" i="2" s="1"/>
  <c r="G185" i="3" s="1"/>
  <c r="K30" i="2"/>
  <c r="X30" i="2" s="1"/>
  <c r="G154" i="3" s="1"/>
  <c r="J30" i="2"/>
  <c r="AF29" i="2"/>
  <c r="V29" i="2"/>
  <c r="U29" i="2"/>
  <c r="T29" i="2"/>
  <c r="S29" i="2"/>
  <c r="R29" i="2"/>
  <c r="Q29" i="2"/>
  <c r="Z29" i="2" s="1"/>
  <c r="O29" i="2"/>
  <c r="N29" i="2"/>
  <c r="W29" i="2" s="1"/>
  <c r="M29" i="2"/>
  <c r="AA29" i="2" s="1"/>
  <c r="G246" i="3" s="1"/>
  <c r="L29" i="2"/>
  <c r="Y29" i="2" s="1"/>
  <c r="G184" i="3" s="1"/>
  <c r="K29" i="2"/>
  <c r="X29" i="2" s="1"/>
  <c r="G153" i="3" s="1"/>
  <c r="J29" i="2"/>
  <c r="AF28" i="2"/>
  <c r="V28" i="2"/>
  <c r="U28" i="2"/>
  <c r="T28" i="2"/>
  <c r="S28" i="2"/>
  <c r="R28" i="2"/>
  <c r="Q28" i="2"/>
  <c r="Z28" i="2" s="1"/>
  <c r="O28" i="2"/>
  <c r="N28" i="2"/>
  <c r="W28" i="2" s="1"/>
  <c r="M28" i="2"/>
  <c r="AA28" i="2" s="1"/>
  <c r="G245" i="3" s="1"/>
  <c r="L28" i="2"/>
  <c r="Y28" i="2" s="1"/>
  <c r="G183" i="3" s="1"/>
  <c r="K28" i="2"/>
  <c r="X28" i="2" s="1"/>
  <c r="G152" i="3" s="1"/>
  <c r="J28" i="2"/>
  <c r="AF27" i="2"/>
  <c r="V27" i="2"/>
  <c r="U27" i="2"/>
  <c r="T27" i="2"/>
  <c r="S27" i="2"/>
  <c r="R27" i="2"/>
  <c r="Q27" i="2"/>
  <c r="Z27" i="2" s="1"/>
  <c r="O27" i="2"/>
  <c r="N27" i="2"/>
  <c r="W27" i="2" s="1"/>
  <c r="M27" i="2"/>
  <c r="AA27" i="2" s="1"/>
  <c r="G244" i="3" s="1"/>
  <c r="L27" i="2"/>
  <c r="Y27" i="2" s="1"/>
  <c r="G182" i="3" s="1"/>
  <c r="K27" i="2"/>
  <c r="X27" i="2" s="1"/>
  <c r="G151" i="3" s="1"/>
  <c r="J27" i="2"/>
  <c r="AF26" i="2"/>
  <c r="V26" i="2"/>
  <c r="U26" i="2"/>
  <c r="T26" i="2"/>
  <c r="S26" i="2"/>
  <c r="R26" i="2"/>
  <c r="Q26" i="2"/>
  <c r="Z26" i="2" s="1"/>
  <c r="O26" i="2"/>
  <c r="N26" i="2"/>
  <c r="W26" i="2" s="1"/>
  <c r="M26" i="2"/>
  <c r="AA26" i="2" s="1"/>
  <c r="G243" i="3" s="1"/>
  <c r="L26" i="2"/>
  <c r="Y26" i="2" s="1"/>
  <c r="G181" i="3" s="1"/>
  <c r="K26" i="2"/>
  <c r="X26" i="2" s="1"/>
  <c r="G150" i="3" s="1"/>
  <c r="J26" i="2"/>
  <c r="AF25" i="2"/>
  <c r="V25" i="2"/>
  <c r="U25" i="2"/>
  <c r="T25" i="2"/>
  <c r="S25" i="2"/>
  <c r="R25" i="2"/>
  <c r="Q25" i="2"/>
  <c r="Z25" i="2" s="1"/>
  <c r="O25" i="2"/>
  <c r="N25" i="2"/>
  <c r="W25" i="2" s="1"/>
  <c r="M25" i="2"/>
  <c r="AA25" i="2" s="1"/>
  <c r="G242" i="3" s="1"/>
  <c r="L25" i="2"/>
  <c r="Y25" i="2" s="1"/>
  <c r="G180" i="3" s="1"/>
  <c r="K25" i="2"/>
  <c r="X25" i="2" s="1"/>
  <c r="G149" i="3" s="1"/>
  <c r="J25" i="2"/>
  <c r="AF24" i="2"/>
  <c r="V24" i="2"/>
  <c r="U24" i="2"/>
  <c r="T24" i="2"/>
  <c r="S24" i="2"/>
  <c r="R24" i="2"/>
  <c r="Q24" i="2"/>
  <c r="Z24" i="2" s="1"/>
  <c r="O24" i="2"/>
  <c r="N24" i="2"/>
  <c r="W24" i="2" s="1"/>
  <c r="M24" i="2"/>
  <c r="AA24" i="2" s="1"/>
  <c r="G241" i="3" s="1"/>
  <c r="L24" i="2"/>
  <c r="Y24" i="2" s="1"/>
  <c r="G179" i="3" s="1"/>
  <c r="K24" i="2"/>
  <c r="X24" i="2" s="1"/>
  <c r="G148" i="3" s="1"/>
  <c r="J24" i="2"/>
  <c r="AF23" i="2"/>
  <c r="V23" i="2"/>
  <c r="U23" i="2"/>
  <c r="T23" i="2"/>
  <c r="S23" i="2"/>
  <c r="R23" i="2"/>
  <c r="Q23" i="2"/>
  <c r="Z23" i="2" s="1"/>
  <c r="O23" i="2"/>
  <c r="N23" i="2"/>
  <c r="W23" i="2" s="1"/>
  <c r="M23" i="2"/>
  <c r="AA23" i="2" s="1"/>
  <c r="G240" i="3" s="1"/>
  <c r="L23" i="2"/>
  <c r="Y23" i="2" s="1"/>
  <c r="G178" i="3" s="1"/>
  <c r="K23" i="2"/>
  <c r="X23" i="2" s="1"/>
  <c r="G147" i="3" s="1"/>
  <c r="J23" i="2"/>
  <c r="AF22" i="2"/>
  <c r="V22" i="2"/>
  <c r="U22" i="2"/>
  <c r="T22" i="2"/>
  <c r="S22" i="2"/>
  <c r="R22" i="2"/>
  <c r="Q22" i="2"/>
  <c r="Z22" i="2" s="1"/>
  <c r="O22" i="2"/>
  <c r="N22" i="2"/>
  <c r="W22" i="2" s="1"/>
  <c r="M22" i="2"/>
  <c r="AA22" i="2" s="1"/>
  <c r="G239" i="3" s="1"/>
  <c r="L22" i="2"/>
  <c r="Y22" i="2" s="1"/>
  <c r="G177" i="3" s="1"/>
  <c r="K22" i="2"/>
  <c r="X22" i="2" s="1"/>
  <c r="G146" i="3" s="1"/>
  <c r="J22" i="2"/>
  <c r="AF21" i="2"/>
  <c r="V21" i="2"/>
  <c r="U21" i="2"/>
  <c r="T21" i="2"/>
  <c r="S21" i="2"/>
  <c r="R21" i="2"/>
  <c r="Q21" i="2"/>
  <c r="Z21" i="2" s="1"/>
  <c r="O21" i="2"/>
  <c r="N21" i="2"/>
  <c r="W21" i="2" s="1"/>
  <c r="M21" i="2"/>
  <c r="AA21" i="2" s="1"/>
  <c r="G238" i="3" s="1"/>
  <c r="L21" i="2"/>
  <c r="Y21" i="2" s="1"/>
  <c r="G176" i="3" s="1"/>
  <c r="K21" i="2"/>
  <c r="X21" i="2" s="1"/>
  <c r="G145" i="3" s="1"/>
  <c r="J21" i="2"/>
  <c r="AF20" i="2"/>
  <c r="V20" i="2"/>
  <c r="U20" i="2"/>
  <c r="T20" i="2"/>
  <c r="S20" i="2"/>
  <c r="R20" i="2"/>
  <c r="Q20" i="2"/>
  <c r="Z20" i="2" s="1"/>
  <c r="O20" i="2"/>
  <c r="N20" i="2"/>
  <c r="W20" i="2" s="1"/>
  <c r="M20" i="2"/>
  <c r="AA20" i="2" s="1"/>
  <c r="G237" i="3" s="1"/>
  <c r="L20" i="2"/>
  <c r="Y20" i="2" s="1"/>
  <c r="G175" i="3" s="1"/>
  <c r="K20" i="2"/>
  <c r="X20" i="2" s="1"/>
  <c r="G144" i="3" s="1"/>
  <c r="J20" i="2"/>
  <c r="AF19" i="2"/>
  <c r="V19" i="2"/>
  <c r="U19" i="2"/>
  <c r="T19" i="2"/>
  <c r="S19" i="2"/>
  <c r="R19" i="2"/>
  <c r="Q19" i="2"/>
  <c r="Z19" i="2" s="1"/>
  <c r="O19" i="2"/>
  <c r="M19" i="2"/>
  <c r="AA19" i="2" s="1"/>
  <c r="G236" i="3" s="1"/>
  <c r="L19" i="2"/>
  <c r="Y19" i="2" s="1"/>
  <c r="G174" i="3" s="1"/>
  <c r="K19" i="2"/>
  <c r="X19" i="2" s="1"/>
  <c r="G143" i="3" s="1"/>
  <c r="J19" i="2"/>
  <c r="AF18" i="2"/>
  <c r="V18" i="2"/>
  <c r="U18" i="2"/>
  <c r="T18" i="2"/>
  <c r="S18" i="2"/>
  <c r="R18" i="2"/>
  <c r="Q18" i="2"/>
  <c r="Z18" i="2" s="1"/>
  <c r="O18" i="2"/>
  <c r="N18" i="2"/>
  <c r="W18" i="2" s="1"/>
  <c r="M18" i="2"/>
  <c r="AA18" i="2" s="1"/>
  <c r="G235" i="3" s="1"/>
  <c r="L18" i="2"/>
  <c r="Y18" i="2" s="1"/>
  <c r="G173" i="3" s="1"/>
  <c r="K18" i="2"/>
  <c r="X18" i="2" s="1"/>
  <c r="G142" i="3" s="1"/>
  <c r="J18" i="2"/>
  <c r="AF17" i="2"/>
  <c r="V17" i="2"/>
  <c r="U17" i="2"/>
  <c r="T17" i="2"/>
  <c r="S17" i="2"/>
  <c r="R17" i="2"/>
  <c r="Q17" i="2"/>
  <c r="Z17" i="2" s="1"/>
  <c r="O17" i="2"/>
  <c r="N17" i="2"/>
  <c r="W17" i="2" s="1"/>
  <c r="M17" i="2"/>
  <c r="AA17" i="2" s="1"/>
  <c r="G234" i="3" s="1"/>
  <c r="L17" i="2"/>
  <c r="Y17" i="2" s="1"/>
  <c r="G172" i="3" s="1"/>
  <c r="K17" i="2"/>
  <c r="X17" i="2" s="1"/>
  <c r="G141" i="3" s="1"/>
  <c r="J17" i="2"/>
  <c r="AF16" i="2"/>
  <c r="V16" i="2"/>
  <c r="U16" i="2"/>
  <c r="T16" i="2"/>
  <c r="S16" i="2"/>
  <c r="R16" i="2"/>
  <c r="Q16" i="2"/>
  <c r="Z16" i="2" s="1"/>
  <c r="O16" i="2"/>
  <c r="N16" i="2"/>
  <c r="W16" i="2" s="1"/>
  <c r="M16" i="2"/>
  <c r="AA16" i="2" s="1"/>
  <c r="G233" i="3" s="1"/>
  <c r="L16" i="2"/>
  <c r="Y16" i="2" s="1"/>
  <c r="G171" i="3" s="1"/>
  <c r="K16" i="2"/>
  <c r="X16" i="2" s="1"/>
  <c r="G140" i="3" s="1"/>
  <c r="J16" i="2"/>
  <c r="AF15" i="2"/>
  <c r="V15" i="2"/>
  <c r="U15" i="2"/>
  <c r="T15" i="2"/>
  <c r="S15" i="2"/>
  <c r="R15" i="2"/>
  <c r="Q15" i="2"/>
  <c r="Z15" i="2" s="1"/>
  <c r="O15" i="2"/>
  <c r="N15" i="2"/>
  <c r="W15" i="2" s="1"/>
  <c r="M15" i="2"/>
  <c r="AA15" i="2" s="1"/>
  <c r="G232" i="3" s="1"/>
  <c r="L15" i="2"/>
  <c r="Y15" i="2" s="1"/>
  <c r="G170" i="3" s="1"/>
  <c r="K15" i="2"/>
  <c r="X15" i="2" s="1"/>
  <c r="G139" i="3" s="1"/>
  <c r="J15" i="2"/>
  <c r="AF14" i="2"/>
  <c r="V14" i="2"/>
  <c r="U14" i="2"/>
  <c r="T14" i="2"/>
  <c r="S14" i="2"/>
  <c r="R14" i="2"/>
  <c r="Q14" i="2"/>
  <c r="Z14" i="2" s="1"/>
  <c r="O14" i="2"/>
  <c r="N14" i="2"/>
  <c r="W14" i="2" s="1"/>
  <c r="M14" i="2"/>
  <c r="AA14" i="2" s="1"/>
  <c r="G231" i="3" s="1"/>
  <c r="L14" i="2"/>
  <c r="Y14" i="2" s="1"/>
  <c r="G169" i="3" s="1"/>
  <c r="K14" i="2"/>
  <c r="X14" i="2" s="1"/>
  <c r="G138" i="3" s="1"/>
  <c r="J14" i="2"/>
  <c r="AF13" i="2"/>
  <c r="V13" i="2"/>
  <c r="U13" i="2"/>
  <c r="T13" i="2"/>
  <c r="S13" i="2"/>
  <c r="R13" i="2"/>
  <c r="Q13" i="2"/>
  <c r="Z13" i="2" s="1"/>
  <c r="O13" i="2"/>
  <c r="N13" i="2"/>
  <c r="W13" i="2" s="1"/>
  <c r="M13" i="2"/>
  <c r="AA13" i="2" s="1"/>
  <c r="G230" i="3" s="1"/>
  <c r="L13" i="2"/>
  <c r="Y13" i="2" s="1"/>
  <c r="G168" i="3" s="1"/>
  <c r="K13" i="2"/>
  <c r="X13" i="2" s="1"/>
  <c r="G137" i="3" s="1"/>
  <c r="J13" i="2"/>
  <c r="AF12" i="2"/>
  <c r="V12" i="2"/>
  <c r="U12" i="2"/>
  <c r="T12" i="2"/>
  <c r="S12" i="2"/>
  <c r="R12" i="2"/>
  <c r="Q12" i="2"/>
  <c r="Z12" i="2" s="1"/>
  <c r="O12" i="2"/>
  <c r="N12" i="2"/>
  <c r="W12" i="2" s="1"/>
  <c r="M12" i="2"/>
  <c r="AA12" i="2" s="1"/>
  <c r="G229" i="3" s="1"/>
  <c r="L12" i="2"/>
  <c r="Y12" i="2" s="1"/>
  <c r="G167" i="3" s="1"/>
  <c r="K12" i="2"/>
  <c r="X12" i="2" s="1"/>
  <c r="G136" i="3" s="1"/>
  <c r="J12" i="2"/>
  <c r="AF11" i="2"/>
  <c r="V11" i="2"/>
  <c r="U11" i="2"/>
  <c r="T11" i="2"/>
  <c r="S11" i="2"/>
  <c r="R11" i="2"/>
  <c r="Q11" i="2"/>
  <c r="Z11" i="2" s="1"/>
  <c r="O11" i="2"/>
  <c r="N11" i="2"/>
  <c r="W11" i="2" s="1"/>
  <c r="M11" i="2"/>
  <c r="AA11" i="2" s="1"/>
  <c r="G228" i="3" s="1"/>
  <c r="L11" i="2"/>
  <c r="Y11" i="2" s="1"/>
  <c r="G166" i="3" s="1"/>
  <c r="K11" i="2"/>
  <c r="X11" i="2" s="1"/>
  <c r="G135" i="3" s="1"/>
  <c r="J11" i="2"/>
  <c r="AF10" i="2"/>
  <c r="V10" i="2"/>
  <c r="U10" i="2"/>
  <c r="T10" i="2"/>
  <c r="S10" i="2"/>
  <c r="R10" i="2"/>
  <c r="Q10" i="2"/>
  <c r="Z10" i="2" s="1"/>
  <c r="O10" i="2"/>
  <c r="N10" i="2"/>
  <c r="W10" i="2" s="1"/>
  <c r="M10" i="2"/>
  <c r="AA10" i="2" s="1"/>
  <c r="G227" i="3" s="1"/>
  <c r="L10" i="2"/>
  <c r="Y10" i="2" s="1"/>
  <c r="G165" i="3" s="1"/>
  <c r="K10" i="2"/>
  <c r="X10" i="2" s="1"/>
  <c r="G134" i="3" s="1"/>
  <c r="J10" i="2"/>
  <c r="AF9" i="2"/>
  <c r="V9" i="2"/>
  <c r="U9" i="2"/>
  <c r="T9" i="2"/>
  <c r="S9" i="2"/>
  <c r="R9" i="2"/>
  <c r="Q9" i="2"/>
  <c r="Z9" i="2" s="1"/>
  <c r="O9" i="2"/>
  <c r="N9" i="2"/>
  <c r="W9" i="2" s="1"/>
  <c r="M9" i="2"/>
  <c r="AA9" i="2" s="1"/>
  <c r="G226" i="3" s="1"/>
  <c r="L9" i="2"/>
  <c r="Y9" i="2" s="1"/>
  <c r="G164" i="3" s="1"/>
  <c r="K9" i="2"/>
  <c r="X9" i="2" s="1"/>
  <c r="G133" i="3" s="1"/>
  <c r="J9" i="2"/>
  <c r="AF8" i="2"/>
  <c r="V8" i="2"/>
  <c r="U8" i="2"/>
  <c r="T8" i="2"/>
  <c r="S8" i="2"/>
  <c r="R8" i="2"/>
  <c r="Q8" i="2"/>
  <c r="Z8" i="2" s="1"/>
  <c r="O8" i="2"/>
  <c r="N8" i="2"/>
  <c r="W8" i="2" s="1"/>
  <c r="M8" i="2"/>
  <c r="AA8" i="2" s="1"/>
  <c r="G225" i="3" s="1"/>
  <c r="L8" i="2"/>
  <c r="Y8" i="2" s="1"/>
  <c r="G163" i="3" s="1"/>
  <c r="K8" i="2"/>
  <c r="X8" i="2" s="1"/>
  <c r="G132" i="3" s="1"/>
  <c r="J8" i="2"/>
  <c r="AF7" i="2"/>
  <c r="V7" i="2"/>
  <c r="U7" i="2"/>
  <c r="T7" i="2"/>
  <c r="S7" i="2"/>
  <c r="R7" i="2"/>
  <c r="Q7" i="2"/>
  <c r="Z7" i="2" s="1"/>
  <c r="O7" i="2"/>
  <c r="N7" i="2"/>
  <c r="W7" i="2" s="1"/>
  <c r="M7" i="2"/>
  <c r="AA7" i="2" s="1"/>
  <c r="G224" i="3" s="1"/>
  <c r="L7" i="2"/>
  <c r="Y7" i="2" s="1"/>
  <c r="G162" i="3" s="1"/>
  <c r="K7" i="2"/>
  <c r="X7" i="2" s="1"/>
  <c r="G131" i="3" s="1"/>
  <c r="J7" i="2"/>
  <c r="AF6" i="2"/>
  <c r="V6" i="2"/>
  <c r="U6" i="2"/>
  <c r="T6" i="2"/>
  <c r="S6" i="2"/>
  <c r="R6" i="2"/>
  <c r="Q6" i="2"/>
  <c r="Z6" i="2" s="1"/>
  <c r="O6" i="2"/>
  <c r="N6" i="2"/>
  <c r="W6" i="2" s="1"/>
  <c r="M6" i="2"/>
  <c r="AA6" i="2" s="1"/>
  <c r="G223" i="3" s="1"/>
  <c r="L6" i="2"/>
  <c r="Y6" i="2" s="1"/>
  <c r="G161" i="3" s="1"/>
  <c r="K6" i="2"/>
  <c r="X6" i="2" s="1"/>
  <c r="G130" i="3" s="1"/>
  <c r="J6" i="2"/>
  <c r="AF5" i="2"/>
  <c r="AF36" i="2" s="1"/>
  <c r="V5" i="2"/>
  <c r="V36" i="2" s="1"/>
  <c r="U5" i="2"/>
  <c r="U36" i="2" s="1"/>
  <c r="T5" i="2"/>
  <c r="T36" i="2" s="1"/>
  <c r="S5" i="2"/>
  <c r="S36" i="2" s="1"/>
  <c r="R5" i="2"/>
  <c r="R36" i="2" s="1"/>
  <c r="O5" i="2"/>
  <c r="N5" i="2"/>
  <c r="M5" i="2"/>
  <c r="L5" i="2"/>
  <c r="K5" i="2"/>
  <c r="J5" i="2"/>
  <c r="C88" i="1"/>
  <c r="D5" i="5" l="1"/>
  <c r="E5" i="5" s="1"/>
  <c r="J36" i="2"/>
  <c r="K36" i="2"/>
  <c r="X5" i="2"/>
  <c r="L36" i="2"/>
  <c r="M36" i="2"/>
  <c r="AA5" i="2"/>
  <c r="N36" i="2"/>
  <c r="W5" i="2"/>
  <c r="O36" i="2"/>
  <c r="AC5" i="2"/>
  <c r="P5" i="2"/>
  <c r="Q36" i="2"/>
  <c r="D6" i="5"/>
  <c r="AG6" i="2"/>
  <c r="P6" i="5"/>
  <c r="Q6" i="5" s="1"/>
  <c r="AB6" i="2"/>
  <c r="G254" i="3" s="1"/>
  <c r="AC6" i="2"/>
  <c r="G285" i="3" s="1"/>
  <c r="P6" i="2"/>
  <c r="T6" i="5" s="1"/>
  <c r="U6" i="5" s="1"/>
  <c r="G192" i="3"/>
  <c r="AD6" i="2"/>
  <c r="R6" i="5" s="1"/>
  <c r="S6" i="5" s="1"/>
  <c r="D7" i="5"/>
  <c r="AG7" i="2"/>
  <c r="P7" i="5"/>
  <c r="Q7" i="5" s="1"/>
  <c r="AB7" i="2"/>
  <c r="G255" i="3" s="1"/>
  <c r="AC7" i="2"/>
  <c r="G286" i="3" s="1"/>
  <c r="T7" i="5"/>
  <c r="U7" i="5" s="1"/>
  <c r="G193" i="3"/>
  <c r="AD7" i="2"/>
  <c r="R7" i="5" s="1"/>
  <c r="S7" i="5" s="1"/>
  <c r="D8" i="5"/>
  <c r="AG8" i="2"/>
  <c r="P8" i="5"/>
  <c r="Q8" i="5" s="1"/>
  <c r="AB8" i="2"/>
  <c r="G256" i="3" s="1"/>
  <c r="AC8" i="2"/>
  <c r="G287" i="3" s="1"/>
  <c r="P8" i="2"/>
  <c r="T8" i="5" s="1"/>
  <c r="U8" i="5" s="1"/>
  <c r="G194" i="3"/>
  <c r="AD8" i="2"/>
  <c r="R8" i="5" s="1"/>
  <c r="S8" i="5" s="1"/>
  <c r="D9" i="5"/>
  <c r="AG9" i="2"/>
  <c r="P9" i="5"/>
  <c r="Q9" i="5" s="1"/>
  <c r="AB9" i="2"/>
  <c r="G257" i="3" s="1"/>
  <c r="AC9" i="2"/>
  <c r="G288" i="3" s="1"/>
  <c r="P9" i="2"/>
  <c r="T9" i="5" s="1"/>
  <c r="U9" i="5" s="1"/>
  <c r="G195" i="3"/>
  <c r="AD9" i="2"/>
  <c r="R9" i="5" s="1"/>
  <c r="S9" i="5" s="1"/>
  <c r="D10" i="5"/>
  <c r="AG10" i="2"/>
  <c r="P10" i="5"/>
  <c r="Q10" i="5" s="1"/>
  <c r="AB10" i="2"/>
  <c r="G258" i="3" s="1"/>
  <c r="AC10" i="2"/>
  <c r="G289" i="3" s="1"/>
  <c r="P10" i="2"/>
  <c r="T10" i="5" s="1"/>
  <c r="U10" i="5" s="1"/>
  <c r="G196" i="3"/>
  <c r="AD10" i="2"/>
  <c r="R10" i="5" s="1"/>
  <c r="S10" i="5" s="1"/>
  <c r="D11" i="5"/>
  <c r="AG11" i="2"/>
  <c r="P11" i="5"/>
  <c r="Q11" i="5" s="1"/>
  <c r="AB11" i="2"/>
  <c r="G259" i="3" s="1"/>
  <c r="AC11" i="2"/>
  <c r="G290" i="3" s="1"/>
  <c r="P11" i="2"/>
  <c r="T11" i="5" s="1"/>
  <c r="U11" i="5" s="1"/>
  <c r="G197" i="3"/>
  <c r="AD11" i="2"/>
  <c r="R11" i="5" s="1"/>
  <c r="S11" i="5" s="1"/>
  <c r="D12" i="5"/>
  <c r="AG12" i="2"/>
  <c r="P12" i="5"/>
  <c r="Q12" i="5" s="1"/>
  <c r="AB12" i="2"/>
  <c r="G260" i="3" s="1"/>
  <c r="AC12" i="2"/>
  <c r="G291" i="3" s="1"/>
  <c r="P12" i="2"/>
  <c r="T12" i="5" s="1"/>
  <c r="U12" i="5" s="1"/>
  <c r="G198" i="3"/>
  <c r="AD12" i="2"/>
  <c r="R12" i="5" s="1"/>
  <c r="S12" i="5" s="1"/>
  <c r="D13" i="5"/>
  <c r="AG13" i="2"/>
  <c r="P13" i="5"/>
  <c r="Q13" i="5" s="1"/>
  <c r="AB13" i="2"/>
  <c r="G261" i="3" s="1"/>
  <c r="AC13" i="2"/>
  <c r="G292" i="3" s="1"/>
  <c r="P13" i="2"/>
  <c r="T13" i="5" s="1"/>
  <c r="U13" i="5" s="1"/>
  <c r="G199" i="3"/>
  <c r="AD13" i="2"/>
  <c r="R13" i="5" s="1"/>
  <c r="S13" i="5" s="1"/>
  <c r="D14" i="5"/>
  <c r="AG14" i="2"/>
  <c r="P14" i="5"/>
  <c r="Q14" i="5" s="1"/>
  <c r="AB14" i="2"/>
  <c r="G262" i="3" s="1"/>
  <c r="AC14" i="2"/>
  <c r="G293" i="3" s="1"/>
  <c r="P14" i="2"/>
  <c r="T14" i="5" s="1"/>
  <c r="U14" i="5" s="1"/>
  <c r="G200" i="3"/>
  <c r="AD14" i="2"/>
  <c r="R14" i="5" s="1"/>
  <c r="S14" i="5" s="1"/>
  <c r="D15" i="5"/>
  <c r="AG15" i="2"/>
  <c r="P15" i="5"/>
  <c r="Q15" i="5" s="1"/>
  <c r="AB15" i="2"/>
  <c r="G263" i="3" s="1"/>
  <c r="AC15" i="2"/>
  <c r="G294" i="3" s="1"/>
  <c r="P15" i="2"/>
  <c r="T15" i="5" s="1"/>
  <c r="U15" i="5" s="1"/>
  <c r="G201" i="3"/>
  <c r="AD15" i="2"/>
  <c r="R15" i="5" s="1"/>
  <c r="S15" i="5" s="1"/>
  <c r="D16" i="5"/>
  <c r="AG16" i="2"/>
  <c r="P16" i="5"/>
  <c r="Q16" i="5" s="1"/>
  <c r="AB16" i="2"/>
  <c r="G264" i="3" s="1"/>
  <c r="AC16" i="2"/>
  <c r="G295" i="3" s="1"/>
  <c r="P16" i="2"/>
  <c r="T16" i="5" s="1"/>
  <c r="U16" i="5" s="1"/>
  <c r="G202" i="3"/>
  <c r="AD16" i="2"/>
  <c r="R16" i="5" s="1"/>
  <c r="S16" i="5" s="1"/>
  <c r="D17" i="5"/>
  <c r="AG17" i="2"/>
  <c r="P17" i="5"/>
  <c r="Q17" i="5" s="1"/>
  <c r="AB17" i="2"/>
  <c r="G265" i="3" s="1"/>
  <c r="AC17" i="2"/>
  <c r="G296" i="3" s="1"/>
  <c r="P17" i="2"/>
  <c r="T17" i="5" s="1"/>
  <c r="U17" i="5" s="1"/>
  <c r="G203" i="3"/>
  <c r="AD17" i="2"/>
  <c r="R17" i="5" s="1"/>
  <c r="S17" i="5" s="1"/>
  <c r="D18" i="5"/>
  <c r="AG18" i="2"/>
  <c r="P18" i="5"/>
  <c r="Q18" i="5" s="1"/>
  <c r="AB18" i="2"/>
  <c r="G266" i="3" s="1"/>
  <c r="AC18" i="2"/>
  <c r="G297" i="3" s="1"/>
  <c r="P18" i="2"/>
  <c r="T18" i="5" s="1"/>
  <c r="U18" i="5" s="1"/>
  <c r="G204" i="3"/>
  <c r="AD18" i="2"/>
  <c r="R18" i="5" s="1"/>
  <c r="S18" i="5" s="1"/>
  <c r="D19" i="5"/>
  <c r="AG19" i="2"/>
  <c r="P19" i="5"/>
  <c r="Q19" i="5" s="1"/>
  <c r="AB19" i="2"/>
  <c r="G267" i="3" s="1"/>
  <c r="AC19" i="2"/>
  <c r="G298" i="3" s="1"/>
  <c r="P19" i="2"/>
  <c r="T19" i="5" s="1"/>
  <c r="U19" i="5" s="1"/>
  <c r="G205" i="3"/>
  <c r="AD19" i="2"/>
  <c r="R19" i="5" s="1"/>
  <c r="S19" i="5" s="1"/>
  <c r="D20" i="5"/>
  <c r="AG20" i="2"/>
  <c r="P20" i="5"/>
  <c r="Q20" i="5" s="1"/>
  <c r="AB20" i="2"/>
  <c r="G268" i="3" s="1"/>
  <c r="AC20" i="2"/>
  <c r="G299" i="3" s="1"/>
  <c r="T20" i="5"/>
  <c r="U20" i="5" s="1"/>
  <c r="G206" i="3"/>
  <c r="AD20" i="2"/>
  <c r="R20" i="5" s="1"/>
  <c r="S20" i="5" s="1"/>
  <c r="D21" i="5"/>
  <c r="AG21" i="2"/>
  <c r="P21" i="5"/>
  <c r="Q21" i="5" s="1"/>
  <c r="AB21" i="2"/>
  <c r="G269" i="3" s="1"/>
  <c r="AC21" i="2"/>
  <c r="G300" i="3" s="1"/>
  <c r="P21" i="2"/>
  <c r="T21" i="5" s="1"/>
  <c r="U21" i="5" s="1"/>
  <c r="G207" i="3"/>
  <c r="AD21" i="2"/>
  <c r="R21" i="5" s="1"/>
  <c r="S21" i="5" s="1"/>
  <c r="D22" i="5"/>
  <c r="AG22" i="2"/>
  <c r="P22" i="5"/>
  <c r="Q22" i="5" s="1"/>
  <c r="AB22" i="2"/>
  <c r="G270" i="3" s="1"/>
  <c r="AC22" i="2"/>
  <c r="G301" i="3" s="1"/>
  <c r="P22" i="2"/>
  <c r="T22" i="5" s="1"/>
  <c r="U22" i="5" s="1"/>
  <c r="G208" i="3"/>
  <c r="AD22" i="2"/>
  <c r="R22" i="5" s="1"/>
  <c r="S22" i="5" s="1"/>
  <c r="D23" i="5"/>
  <c r="AG23" i="2"/>
  <c r="P23" i="5"/>
  <c r="Q23" i="5" s="1"/>
  <c r="AB23" i="2"/>
  <c r="G271" i="3" s="1"/>
  <c r="AC23" i="2"/>
  <c r="G302" i="3" s="1"/>
  <c r="P23" i="2"/>
  <c r="T23" i="5" s="1"/>
  <c r="U23" i="5" s="1"/>
  <c r="G209" i="3"/>
  <c r="AD23" i="2"/>
  <c r="R23" i="5" s="1"/>
  <c r="S23" i="5" s="1"/>
  <c r="D24" i="5"/>
  <c r="AG24" i="2"/>
  <c r="P24" i="5"/>
  <c r="Q24" i="5" s="1"/>
  <c r="AB24" i="2"/>
  <c r="G272" i="3" s="1"/>
  <c r="AC24" i="2"/>
  <c r="G303" i="3" s="1"/>
  <c r="P24" i="2"/>
  <c r="T24" i="5" s="1"/>
  <c r="U24" i="5" s="1"/>
  <c r="G210" i="3"/>
  <c r="AD24" i="2"/>
  <c r="R24" i="5" s="1"/>
  <c r="S24" i="5" s="1"/>
  <c r="D25" i="5"/>
  <c r="AG25" i="2"/>
  <c r="P25" i="5"/>
  <c r="Q25" i="5" s="1"/>
  <c r="AB25" i="2"/>
  <c r="G273" i="3" s="1"/>
  <c r="AC25" i="2"/>
  <c r="G304" i="3" s="1"/>
  <c r="P25" i="2"/>
  <c r="T25" i="5" s="1"/>
  <c r="U25" i="5" s="1"/>
  <c r="G211" i="3"/>
  <c r="AD25" i="2"/>
  <c r="R25" i="5" s="1"/>
  <c r="S25" i="5" s="1"/>
  <c r="D26" i="5"/>
  <c r="AG26" i="2"/>
  <c r="P26" i="5"/>
  <c r="Q26" i="5" s="1"/>
  <c r="AB26" i="2"/>
  <c r="G274" i="3" s="1"/>
  <c r="AC26" i="2"/>
  <c r="G305" i="3" s="1"/>
  <c r="P26" i="2"/>
  <c r="T26" i="5" s="1"/>
  <c r="U26" i="5" s="1"/>
  <c r="G212" i="3"/>
  <c r="AD26" i="2"/>
  <c r="R26" i="5" s="1"/>
  <c r="S26" i="5" s="1"/>
  <c r="D27" i="5"/>
  <c r="AG27" i="2"/>
  <c r="P27" i="5"/>
  <c r="Q27" i="5" s="1"/>
  <c r="AB27" i="2"/>
  <c r="G275" i="3" s="1"/>
  <c r="AC27" i="2"/>
  <c r="G306" i="3" s="1"/>
  <c r="P27" i="2"/>
  <c r="T27" i="5" s="1"/>
  <c r="U27" i="5" s="1"/>
  <c r="G213" i="3"/>
  <c r="AD27" i="2"/>
  <c r="R27" i="5" s="1"/>
  <c r="S27" i="5" s="1"/>
  <c r="D28" i="5"/>
  <c r="AG28" i="2"/>
  <c r="P28" i="5"/>
  <c r="Q28" i="5" s="1"/>
  <c r="AB28" i="2"/>
  <c r="G276" i="3" s="1"/>
  <c r="AC28" i="2"/>
  <c r="G307" i="3" s="1"/>
  <c r="P28" i="2"/>
  <c r="T28" i="5" s="1"/>
  <c r="U28" i="5" s="1"/>
  <c r="G214" i="3"/>
  <c r="AD28" i="2"/>
  <c r="R28" i="5" s="1"/>
  <c r="S28" i="5" s="1"/>
  <c r="D29" i="5"/>
  <c r="AG29" i="2"/>
  <c r="P29" i="5"/>
  <c r="Q29" i="5" s="1"/>
  <c r="AB29" i="2"/>
  <c r="G277" i="3" s="1"/>
  <c r="AC29" i="2"/>
  <c r="G308" i="3" s="1"/>
  <c r="P29" i="2"/>
  <c r="T29" i="5" s="1"/>
  <c r="U29" i="5" s="1"/>
  <c r="G215" i="3"/>
  <c r="AD29" i="2"/>
  <c r="R29" i="5" s="1"/>
  <c r="S29" i="5" s="1"/>
  <c r="D30" i="5"/>
  <c r="AG30" i="2"/>
  <c r="P30" i="5"/>
  <c r="Q30" i="5" s="1"/>
  <c r="AB30" i="2"/>
  <c r="G278" i="3" s="1"/>
  <c r="AC30" i="2"/>
  <c r="G309" i="3" s="1"/>
  <c r="P30" i="2"/>
  <c r="T30" i="5" s="1"/>
  <c r="U30" i="5" s="1"/>
  <c r="G216" i="3"/>
  <c r="AD30" i="2"/>
  <c r="R30" i="5" s="1"/>
  <c r="S30" i="5" s="1"/>
  <c r="D31" i="5"/>
  <c r="AG31" i="2"/>
  <c r="P31" i="5"/>
  <c r="Q31" i="5" s="1"/>
  <c r="AB31" i="2"/>
  <c r="G279" i="3" s="1"/>
  <c r="AC31" i="2"/>
  <c r="G310" i="3" s="1"/>
  <c r="P31" i="2"/>
  <c r="T31" i="5" s="1"/>
  <c r="U31" i="5" s="1"/>
  <c r="G217" i="3"/>
  <c r="AD31" i="2"/>
  <c r="R31" i="5" s="1"/>
  <c r="S31" i="5" s="1"/>
  <c r="D32" i="5"/>
  <c r="AG32" i="2"/>
  <c r="P32" i="5"/>
  <c r="Q32" i="5" s="1"/>
  <c r="AB32" i="2"/>
  <c r="G280" i="3" s="1"/>
  <c r="AC32" i="2"/>
  <c r="G311" i="3" s="1"/>
  <c r="P32" i="2"/>
  <c r="T32" i="5" s="1"/>
  <c r="U32" i="5" s="1"/>
  <c r="G218" i="3"/>
  <c r="AD32" i="2"/>
  <c r="R32" i="5" s="1"/>
  <c r="S32" i="5" s="1"/>
  <c r="D33" i="5"/>
  <c r="AG33" i="2"/>
  <c r="P33" i="5"/>
  <c r="Q33" i="5" s="1"/>
  <c r="AB33" i="2"/>
  <c r="G281" i="3" s="1"/>
  <c r="AC33" i="2"/>
  <c r="G312" i="3" s="1"/>
  <c r="P33" i="2"/>
  <c r="T33" i="5" s="1"/>
  <c r="U33" i="5" s="1"/>
  <c r="G219" i="3"/>
  <c r="AD33" i="2"/>
  <c r="R33" i="5" s="1"/>
  <c r="S33" i="5" s="1"/>
  <c r="D34" i="5"/>
  <c r="AG34" i="2"/>
  <c r="P34" i="5"/>
  <c r="Q34" i="5" s="1"/>
  <c r="AB34" i="2"/>
  <c r="G282" i="3" s="1"/>
  <c r="AC34" i="2"/>
  <c r="G313" i="3" s="1"/>
  <c r="P34" i="2"/>
  <c r="T34" i="5" s="1"/>
  <c r="U34" i="5" s="1"/>
  <c r="G220" i="3"/>
  <c r="AD34" i="2"/>
  <c r="R34" i="5" s="1"/>
  <c r="S34" i="5" s="1"/>
  <c r="D35" i="5"/>
  <c r="AG35" i="2"/>
  <c r="P35" i="5"/>
  <c r="Q35" i="5" s="1"/>
  <c r="AB35" i="2"/>
  <c r="G283" i="3" s="1"/>
  <c r="AC35" i="2"/>
  <c r="G314" i="3" s="1"/>
  <c r="P35" i="2"/>
  <c r="T35" i="5" s="1"/>
  <c r="U35" i="5" s="1"/>
  <c r="G221" i="3"/>
  <c r="AD35" i="2"/>
  <c r="R35" i="5" s="1"/>
  <c r="S35" i="5" s="1"/>
  <c r="C5" i="4"/>
  <c r="F6" i="3"/>
  <c r="I6" i="3" s="1"/>
  <c r="L5" i="3"/>
  <c r="M5" i="3"/>
  <c r="N5" i="4" s="1"/>
  <c r="M6" i="3"/>
  <c r="N6" i="4" s="1"/>
  <c r="D5" i="4"/>
  <c r="F37" i="3"/>
  <c r="I37" i="3" s="1"/>
  <c r="L36" i="3"/>
  <c r="M36" i="3"/>
  <c r="O5" i="4" s="1"/>
  <c r="M37" i="3"/>
  <c r="O6" i="4" s="1"/>
  <c r="E5" i="4"/>
  <c r="F68" i="3"/>
  <c r="I68" i="3" s="1"/>
  <c r="L67" i="3"/>
  <c r="M67" i="3"/>
  <c r="P5" i="4" s="1"/>
  <c r="M68" i="3"/>
  <c r="P6" i="4" s="1"/>
  <c r="F5" i="4"/>
  <c r="F99" i="3"/>
  <c r="I99" i="3" s="1"/>
  <c r="L98" i="3"/>
  <c r="M98" i="3"/>
  <c r="Q5" i="4" s="1"/>
  <c r="M99" i="3"/>
  <c r="Q6" i="4" s="1"/>
  <c r="L5" i="5"/>
  <c r="K5" i="5"/>
  <c r="O5" i="5"/>
  <c r="N5" i="5"/>
  <c r="L6" i="5"/>
  <c r="K6" i="5"/>
  <c r="O6" i="5"/>
  <c r="N6" i="5"/>
  <c r="L7" i="5"/>
  <c r="K7" i="5"/>
  <c r="O7" i="5"/>
  <c r="N7" i="5"/>
  <c r="L8" i="5"/>
  <c r="K8" i="5"/>
  <c r="O8" i="5"/>
  <c r="N8" i="5"/>
  <c r="L9" i="5"/>
  <c r="K9" i="5"/>
  <c r="O9" i="5"/>
  <c r="N9" i="5"/>
  <c r="L10" i="5"/>
  <c r="K10" i="5"/>
  <c r="O10" i="5"/>
  <c r="N10" i="5"/>
  <c r="L11" i="5"/>
  <c r="K11" i="5"/>
  <c r="O11" i="5"/>
  <c r="N11" i="5"/>
  <c r="L12" i="5"/>
  <c r="K12" i="5"/>
  <c r="O12" i="5"/>
  <c r="N12" i="5"/>
  <c r="L13" i="5"/>
  <c r="K13" i="5"/>
  <c r="O13" i="5"/>
  <c r="N13" i="5"/>
  <c r="L14" i="5"/>
  <c r="K14" i="5"/>
  <c r="O14" i="5"/>
  <c r="N14" i="5"/>
  <c r="L15" i="5"/>
  <c r="K15" i="5"/>
  <c r="O15" i="5"/>
  <c r="N15" i="5"/>
  <c r="L16" i="5"/>
  <c r="K16" i="5"/>
  <c r="O16" i="5"/>
  <c r="N16" i="5"/>
  <c r="L17" i="5"/>
  <c r="K17" i="5"/>
  <c r="O17" i="5"/>
  <c r="N17" i="5"/>
  <c r="L18" i="5"/>
  <c r="K18" i="5"/>
  <c r="O18" i="5"/>
  <c r="N18" i="5"/>
  <c r="L19" i="5"/>
  <c r="K19" i="5"/>
  <c r="O19" i="5"/>
  <c r="N19" i="5"/>
  <c r="L20" i="5"/>
  <c r="K20" i="5"/>
  <c r="O20" i="5"/>
  <c r="N20" i="5"/>
  <c r="L21" i="5"/>
  <c r="K21" i="5"/>
  <c r="O21" i="5"/>
  <c r="N21" i="5"/>
  <c r="L22" i="5"/>
  <c r="K22" i="5"/>
  <c r="O22" i="5"/>
  <c r="N22" i="5"/>
  <c r="L23" i="5"/>
  <c r="K23" i="5"/>
  <c r="O23" i="5"/>
  <c r="N23" i="5"/>
  <c r="L24" i="5"/>
  <c r="K24" i="5"/>
  <c r="O24" i="5"/>
  <c r="N24" i="5"/>
  <c r="L25" i="5"/>
  <c r="K25" i="5"/>
  <c r="O25" i="5"/>
  <c r="N25" i="5"/>
  <c r="L26" i="5"/>
  <c r="K26" i="5"/>
  <c r="O26" i="5"/>
  <c r="N26" i="5"/>
  <c r="L27" i="5"/>
  <c r="K27" i="5"/>
  <c r="O27" i="5"/>
  <c r="N27" i="5"/>
  <c r="L28" i="5"/>
  <c r="K28" i="5"/>
  <c r="O28" i="5"/>
  <c r="N28" i="5"/>
  <c r="L29" i="5"/>
  <c r="K29" i="5"/>
  <c r="O29" i="5"/>
  <c r="N29" i="5"/>
  <c r="L30" i="5"/>
  <c r="K30" i="5"/>
  <c r="O30" i="5"/>
  <c r="N30" i="5"/>
  <c r="L31" i="5"/>
  <c r="K31" i="5"/>
  <c r="O31" i="5"/>
  <c r="N31" i="5"/>
  <c r="L32" i="5"/>
  <c r="K32" i="5"/>
  <c r="O32" i="5"/>
  <c r="N32" i="5"/>
  <c r="L33" i="5"/>
  <c r="K33" i="5"/>
  <c r="O33" i="5"/>
  <c r="N33" i="5"/>
  <c r="L34" i="5"/>
  <c r="K34" i="5"/>
  <c r="O34" i="5"/>
  <c r="N34" i="5"/>
  <c r="L35" i="5"/>
  <c r="K35" i="5"/>
  <c r="O35" i="5"/>
  <c r="N35" i="5"/>
  <c r="N37" i="5" l="1"/>
  <c r="O37" i="5"/>
  <c r="K37" i="5"/>
  <c r="L37" i="5"/>
  <c r="F6" i="4"/>
  <c r="F100" i="3"/>
  <c r="I100" i="3" s="1"/>
  <c r="L99" i="3"/>
  <c r="E6" i="4"/>
  <c r="F69" i="3"/>
  <c r="I69" i="3" s="1"/>
  <c r="L68" i="3"/>
  <c r="D6" i="4"/>
  <c r="F38" i="3"/>
  <c r="I38" i="3" s="1"/>
  <c r="L37" i="3"/>
  <c r="C6" i="4"/>
  <c r="F7" i="3"/>
  <c r="I7" i="3" s="1"/>
  <c r="L6" i="3"/>
  <c r="H35" i="5"/>
  <c r="I35" i="5" s="1"/>
  <c r="E35" i="5"/>
  <c r="H34" i="5"/>
  <c r="I34" i="5" s="1"/>
  <c r="E34" i="5"/>
  <c r="H33" i="5"/>
  <c r="I33" i="5" s="1"/>
  <c r="E33" i="5"/>
  <c r="H32" i="5"/>
  <c r="I32" i="5" s="1"/>
  <c r="E32" i="5"/>
  <c r="H31" i="5"/>
  <c r="I31" i="5" s="1"/>
  <c r="E31" i="5"/>
  <c r="H30" i="5"/>
  <c r="I30" i="5" s="1"/>
  <c r="E30" i="5"/>
  <c r="H29" i="5"/>
  <c r="I29" i="5" s="1"/>
  <c r="E29" i="5"/>
  <c r="H28" i="5"/>
  <c r="I28" i="5" s="1"/>
  <c r="E28" i="5"/>
  <c r="H27" i="5"/>
  <c r="I27" i="5" s="1"/>
  <c r="E27" i="5"/>
  <c r="H26" i="5"/>
  <c r="I26" i="5" s="1"/>
  <c r="E26" i="5"/>
  <c r="H25" i="5"/>
  <c r="I25" i="5" s="1"/>
  <c r="E25" i="5"/>
  <c r="H24" i="5"/>
  <c r="I24" i="5" s="1"/>
  <c r="E24" i="5"/>
  <c r="H23" i="5"/>
  <c r="I23" i="5" s="1"/>
  <c r="E23" i="5"/>
  <c r="H22" i="5"/>
  <c r="I22" i="5" s="1"/>
  <c r="E22" i="5"/>
  <c r="H21" i="5"/>
  <c r="I21" i="5" s="1"/>
  <c r="E21" i="5"/>
  <c r="H20" i="5"/>
  <c r="I20" i="5" s="1"/>
  <c r="E20" i="5"/>
  <c r="H19" i="5"/>
  <c r="I19" i="5" s="1"/>
  <c r="E19" i="5"/>
  <c r="H18" i="5"/>
  <c r="I18" i="5" s="1"/>
  <c r="E18" i="5"/>
  <c r="H17" i="5"/>
  <c r="I17" i="5" s="1"/>
  <c r="E17" i="5"/>
  <c r="H16" i="5"/>
  <c r="I16" i="5" s="1"/>
  <c r="E16" i="5"/>
  <c r="H15" i="5"/>
  <c r="I15" i="5" s="1"/>
  <c r="E15" i="5"/>
  <c r="H14" i="5"/>
  <c r="I14" i="5" s="1"/>
  <c r="E14" i="5"/>
  <c r="H13" i="5"/>
  <c r="I13" i="5" s="1"/>
  <c r="E13" i="5"/>
  <c r="H12" i="5"/>
  <c r="I12" i="5" s="1"/>
  <c r="E12" i="5"/>
  <c r="H11" i="5"/>
  <c r="I11" i="5" s="1"/>
  <c r="E11" i="5"/>
  <c r="H10" i="5"/>
  <c r="I10" i="5" s="1"/>
  <c r="E10" i="5"/>
  <c r="H9" i="5"/>
  <c r="I9" i="5" s="1"/>
  <c r="E9" i="5"/>
  <c r="H8" i="5"/>
  <c r="I8" i="5" s="1"/>
  <c r="E8" i="5"/>
  <c r="H7" i="5"/>
  <c r="I7" i="5" s="1"/>
  <c r="E7" i="5"/>
  <c r="H6" i="5"/>
  <c r="I6" i="5" s="1"/>
  <c r="I37" i="5" s="1"/>
  <c r="E6" i="5"/>
  <c r="G191" i="3"/>
  <c r="I191" i="3" s="1"/>
  <c r="Z36" i="2"/>
  <c r="T5" i="5"/>
  <c r="U5" i="5" s="1"/>
  <c r="U37" i="5" s="1"/>
  <c r="P36" i="2"/>
  <c r="G284" i="3"/>
  <c r="I284" i="3" s="1"/>
  <c r="AC36" i="2"/>
  <c r="P5" i="5"/>
  <c r="Q5" i="5" s="1"/>
  <c r="Q37" i="5" s="1"/>
  <c r="W36" i="2"/>
  <c r="AG5" i="2"/>
  <c r="AG36" i="2" s="1"/>
  <c r="G222" i="3"/>
  <c r="I222" i="3" s="1"/>
  <c r="AA36" i="2"/>
  <c r="G160" i="3"/>
  <c r="I160" i="3" s="1"/>
  <c r="Y36" i="2"/>
  <c r="G129" i="3"/>
  <c r="I129" i="3" s="1"/>
  <c r="X36" i="2"/>
  <c r="G42" i="2"/>
  <c r="E37" i="5"/>
  <c r="G5" i="4" l="1"/>
  <c r="F130" i="3"/>
  <c r="I130" i="3" s="1"/>
  <c r="L129" i="3"/>
  <c r="M129" i="3"/>
  <c r="R5" i="4" s="1"/>
  <c r="H5" i="4"/>
  <c r="F161" i="3"/>
  <c r="I161" i="3" s="1"/>
  <c r="L160" i="3"/>
  <c r="M160" i="3"/>
  <c r="S5" i="4" s="1"/>
  <c r="J5" i="4"/>
  <c r="F223" i="3"/>
  <c r="I223" i="3" s="1"/>
  <c r="L222" i="3"/>
  <c r="M222" i="3"/>
  <c r="U5" i="4" s="1"/>
  <c r="G253" i="3"/>
  <c r="I253" i="3" s="1"/>
  <c r="AB36" i="2"/>
  <c r="L5" i="4"/>
  <c r="F285" i="3"/>
  <c r="I285" i="3" s="1"/>
  <c r="L284" i="3"/>
  <c r="M284" i="3"/>
  <c r="W5" i="4" s="1"/>
  <c r="R5" i="5"/>
  <c r="AD36" i="2"/>
  <c r="I5" i="4"/>
  <c r="F192" i="3"/>
  <c r="I192" i="3" s="1"/>
  <c r="L191" i="3"/>
  <c r="M191" i="3"/>
  <c r="T5" i="4" s="1"/>
  <c r="C7" i="4"/>
  <c r="F8" i="3"/>
  <c r="I8" i="3" s="1"/>
  <c r="L7" i="3"/>
  <c r="M7" i="3"/>
  <c r="N7" i="4" s="1"/>
  <c r="D7" i="4"/>
  <c r="F39" i="3"/>
  <c r="I39" i="3" s="1"/>
  <c r="L38" i="3"/>
  <c r="M38" i="3"/>
  <c r="O7" i="4" s="1"/>
  <c r="E7" i="4"/>
  <c r="F70" i="3"/>
  <c r="I70" i="3" s="1"/>
  <c r="L69" i="3"/>
  <c r="M69" i="3"/>
  <c r="P7" i="4" s="1"/>
  <c r="F7" i="4"/>
  <c r="F101" i="3"/>
  <c r="I101" i="3" s="1"/>
  <c r="L100" i="3"/>
  <c r="M100" i="3"/>
  <c r="Q7" i="4" s="1"/>
  <c r="F8" i="4" l="1"/>
  <c r="F102" i="3"/>
  <c r="I102" i="3" s="1"/>
  <c r="L101" i="3"/>
  <c r="M101" i="3"/>
  <c r="Q8" i="4" s="1"/>
  <c r="E8" i="4"/>
  <c r="F71" i="3"/>
  <c r="I71" i="3" s="1"/>
  <c r="L70" i="3"/>
  <c r="M70" i="3"/>
  <c r="P8" i="4" s="1"/>
  <c r="D8" i="4"/>
  <c r="F40" i="3"/>
  <c r="I40" i="3" s="1"/>
  <c r="L39" i="3"/>
  <c r="M39" i="3"/>
  <c r="O8" i="4" s="1"/>
  <c r="C8" i="4"/>
  <c r="F9" i="3"/>
  <c r="I9" i="3" s="1"/>
  <c r="L8" i="3"/>
  <c r="M8" i="3"/>
  <c r="N8" i="4" s="1"/>
  <c r="I6" i="4"/>
  <c r="F193" i="3"/>
  <c r="I193" i="3" s="1"/>
  <c r="L192" i="3"/>
  <c r="M192" i="3"/>
  <c r="T6" i="4" s="1"/>
  <c r="S5" i="5"/>
  <c r="S37" i="5" s="1"/>
  <c r="L6" i="4"/>
  <c r="F286" i="3"/>
  <c r="I286" i="3" s="1"/>
  <c r="L285" i="3"/>
  <c r="M285" i="3"/>
  <c r="W6" i="4" s="1"/>
  <c r="K5" i="4"/>
  <c r="F254" i="3"/>
  <c r="I254" i="3" s="1"/>
  <c r="L253" i="3"/>
  <c r="M253" i="3"/>
  <c r="V5" i="4" s="1"/>
  <c r="J6" i="4"/>
  <c r="F224" i="3"/>
  <c r="I224" i="3" s="1"/>
  <c r="L223" i="3"/>
  <c r="M223" i="3"/>
  <c r="U6" i="4" s="1"/>
  <c r="H6" i="4"/>
  <c r="F162" i="3"/>
  <c r="I162" i="3" s="1"/>
  <c r="L161" i="3"/>
  <c r="M161" i="3"/>
  <c r="S6" i="4" s="1"/>
  <c r="V5" i="5"/>
  <c r="G6" i="4"/>
  <c r="F131" i="3"/>
  <c r="I131" i="3" s="1"/>
  <c r="L130" i="3"/>
  <c r="M130" i="3"/>
  <c r="R6" i="4" s="1"/>
  <c r="G7" i="4" l="1"/>
  <c r="F132" i="3"/>
  <c r="I132" i="3" s="1"/>
  <c r="L131" i="3"/>
  <c r="M131" i="3"/>
  <c r="R7" i="4" s="1"/>
  <c r="W5" i="5"/>
  <c r="X5" i="5"/>
  <c r="H7" i="4"/>
  <c r="F163" i="3"/>
  <c r="I163" i="3" s="1"/>
  <c r="L162" i="3"/>
  <c r="M162" i="3"/>
  <c r="S7" i="4" s="1"/>
  <c r="J7" i="4"/>
  <c r="F225" i="3"/>
  <c r="I225" i="3" s="1"/>
  <c r="L224" i="3"/>
  <c r="M224" i="3"/>
  <c r="U7" i="4" s="1"/>
  <c r="K6" i="4"/>
  <c r="F255" i="3"/>
  <c r="I255" i="3" s="1"/>
  <c r="L254" i="3"/>
  <c r="V6" i="5" s="1"/>
  <c r="M254" i="3"/>
  <c r="V6" i="4" s="1"/>
  <c r="L7" i="4"/>
  <c r="F287" i="3"/>
  <c r="I287" i="3" s="1"/>
  <c r="L286" i="3"/>
  <c r="M286" i="3"/>
  <c r="W7" i="4" s="1"/>
  <c r="I7" i="4"/>
  <c r="F194" i="3"/>
  <c r="I194" i="3" s="1"/>
  <c r="L193" i="3"/>
  <c r="M193" i="3"/>
  <c r="T7" i="4" s="1"/>
  <c r="C9" i="4"/>
  <c r="F10" i="3"/>
  <c r="I10" i="3" s="1"/>
  <c r="L9" i="3"/>
  <c r="M9" i="3"/>
  <c r="N9" i="4" s="1"/>
  <c r="D9" i="4"/>
  <c r="F41" i="3"/>
  <c r="I41" i="3" s="1"/>
  <c r="L40" i="3"/>
  <c r="M40" i="3"/>
  <c r="O9" i="4" s="1"/>
  <c r="E9" i="4"/>
  <c r="F72" i="3"/>
  <c r="I72" i="3" s="1"/>
  <c r="L71" i="3"/>
  <c r="M71" i="3"/>
  <c r="P9" i="4" s="1"/>
  <c r="F9" i="4"/>
  <c r="F103" i="3"/>
  <c r="I103" i="3" s="1"/>
  <c r="L102" i="3"/>
  <c r="M102" i="3"/>
  <c r="Q9" i="4" s="1"/>
  <c r="F10" i="4" l="1"/>
  <c r="F104" i="3"/>
  <c r="I104" i="3" s="1"/>
  <c r="L103" i="3"/>
  <c r="M103" i="3"/>
  <c r="Q10" i="4" s="1"/>
  <c r="E10" i="4"/>
  <c r="F73" i="3"/>
  <c r="I73" i="3" s="1"/>
  <c r="L72" i="3"/>
  <c r="M72" i="3"/>
  <c r="P10" i="4" s="1"/>
  <c r="D10" i="4"/>
  <c r="F42" i="3"/>
  <c r="I42" i="3" s="1"/>
  <c r="L41" i="3"/>
  <c r="M41" i="3"/>
  <c r="O10" i="4" s="1"/>
  <c r="C10" i="4"/>
  <c r="F11" i="3"/>
  <c r="I11" i="3" s="1"/>
  <c r="L10" i="3"/>
  <c r="M10" i="3"/>
  <c r="N10" i="4" s="1"/>
  <c r="I8" i="4"/>
  <c r="F195" i="3"/>
  <c r="I195" i="3" s="1"/>
  <c r="L194" i="3"/>
  <c r="M194" i="3"/>
  <c r="T8" i="4" s="1"/>
  <c r="L8" i="4"/>
  <c r="F288" i="3"/>
  <c r="I288" i="3" s="1"/>
  <c r="L287" i="3"/>
  <c r="M287" i="3"/>
  <c r="W8" i="4" s="1"/>
  <c r="W6" i="5"/>
  <c r="X6" i="5" s="1"/>
  <c r="K7" i="4"/>
  <c r="F256" i="3"/>
  <c r="I256" i="3" s="1"/>
  <c r="L255" i="3"/>
  <c r="V7" i="5" s="1"/>
  <c r="M255" i="3"/>
  <c r="V7" i="4" s="1"/>
  <c r="J8" i="4"/>
  <c r="F226" i="3"/>
  <c r="I226" i="3" s="1"/>
  <c r="L225" i="3"/>
  <c r="M225" i="3"/>
  <c r="U8" i="4" s="1"/>
  <c r="H8" i="4"/>
  <c r="F164" i="3"/>
  <c r="I164" i="3" s="1"/>
  <c r="L163" i="3"/>
  <c r="M163" i="3"/>
  <c r="S8" i="4" s="1"/>
  <c r="G8" i="4"/>
  <c r="F133" i="3"/>
  <c r="I133" i="3" s="1"/>
  <c r="L132" i="3"/>
  <c r="M132" i="3"/>
  <c r="R8" i="4" s="1"/>
  <c r="G9" i="4" l="1"/>
  <c r="F134" i="3"/>
  <c r="I134" i="3" s="1"/>
  <c r="L133" i="3"/>
  <c r="M133" i="3"/>
  <c r="R9" i="4" s="1"/>
  <c r="W7" i="5"/>
  <c r="X7" i="5"/>
  <c r="H9" i="4"/>
  <c r="F165" i="3"/>
  <c r="I165" i="3" s="1"/>
  <c r="L164" i="3"/>
  <c r="M164" i="3"/>
  <c r="S9" i="4" s="1"/>
  <c r="J9" i="4"/>
  <c r="F227" i="3"/>
  <c r="I227" i="3" s="1"/>
  <c r="L226" i="3"/>
  <c r="M226" i="3"/>
  <c r="U9" i="4" s="1"/>
  <c r="K8" i="4"/>
  <c r="F257" i="3"/>
  <c r="I257" i="3" s="1"/>
  <c r="L256" i="3"/>
  <c r="V8" i="5" s="1"/>
  <c r="M256" i="3"/>
  <c r="V8" i="4" s="1"/>
  <c r="L9" i="4"/>
  <c r="F289" i="3"/>
  <c r="I289" i="3" s="1"/>
  <c r="L288" i="3"/>
  <c r="M288" i="3"/>
  <c r="W9" i="4" s="1"/>
  <c r="I9" i="4"/>
  <c r="F196" i="3"/>
  <c r="I196" i="3" s="1"/>
  <c r="L195" i="3"/>
  <c r="M195" i="3"/>
  <c r="T9" i="4" s="1"/>
  <c r="C11" i="4"/>
  <c r="F12" i="3"/>
  <c r="I12" i="3" s="1"/>
  <c r="L11" i="3"/>
  <c r="M11" i="3"/>
  <c r="N11" i="4" s="1"/>
  <c r="D11" i="4"/>
  <c r="F43" i="3"/>
  <c r="L42" i="3"/>
  <c r="M42" i="3"/>
  <c r="O11" i="4" s="1"/>
  <c r="E11" i="4"/>
  <c r="F74" i="3"/>
  <c r="I74" i="3" s="1"/>
  <c r="L73" i="3"/>
  <c r="M73" i="3"/>
  <c r="P11" i="4" s="1"/>
  <c r="F11" i="4"/>
  <c r="F105" i="3"/>
  <c r="I105" i="3" s="1"/>
  <c r="L104" i="3"/>
  <c r="M104" i="3"/>
  <c r="Q11" i="4" s="1"/>
  <c r="F12" i="4" l="1"/>
  <c r="F106" i="3"/>
  <c r="I106" i="3" s="1"/>
  <c r="L105" i="3"/>
  <c r="M105" i="3"/>
  <c r="Q12" i="4" s="1"/>
  <c r="E12" i="4"/>
  <c r="F75" i="3"/>
  <c r="I75" i="3" s="1"/>
  <c r="L74" i="3"/>
  <c r="M74" i="3"/>
  <c r="P12" i="4" s="1"/>
  <c r="D12" i="4"/>
  <c r="F44" i="3"/>
  <c r="I44" i="3" s="1"/>
  <c r="L43" i="3"/>
  <c r="O12" i="4"/>
  <c r="C12" i="4"/>
  <c r="F13" i="3"/>
  <c r="I13" i="3" s="1"/>
  <c r="L12" i="3"/>
  <c r="M12" i="3"/>
  <c r="N12" i="4" s="1"/>
  <c r="I10" i="4"/>
  <c r="F197" i="3"/>
  <c r="I197" i="3" s="1"/>
  <c r="L196" i="3"/>
  <c r="M196" i="3"/>
  <c r="T10" i="4" s="1"/>
  <c r="L10" i="4"/>
  <c r="F290" i="3"/>
  <c r="I290" i="3" s="1"/>
  <c r="L289" i="3"/>
  <c r="M289" i="3"/>
  <c r="W10" i="4" s="1"/>
  <c r="W8" i="5"/>
  <c r="X8" i="5" s="1"/>
  <c r="K9" i="4"/>
  <c r="F258" i="3"/>
  <c r="I258" i="3" s="1"/>
  <c r="L257" i="3"/>
  <c r="M257" i="3"/>
  <c r="V9" i="4" s="1"/>
  <c r="J10" i="4"/>
  <c r="F228" i="3"/>
  <c r="I228" i="3" s="1"/>
  <c r="L227" i="3"/>
  <c r="M227" i="3"/>
  <c r="U10" i="4" s="1"/>
  <c r="H10" i="4"/>
  <c r="F166" i="3"/>
  <c r="I166" i="3" s="1"/>
  <c r="L165" i="3"/>
  <c r="M165" i="3"/>
  <c r="S10" i="4" s="1"/>
  <c r="V9" i="5"/>
  <c r="G10" i="4"/>
  <c r="F135" i="3"/>
  <c r="I135" i="3" s="1"/>
  <c r="L134" i="3"/>
  <c r="M134" i="3"/>
  <c r="R10" i="4" s="1"/>
  <c r="G11" i="4" l="1"/>
  <c r="F136" i="3"/>
  <c r="I136" i="3" s="1"/>
  <c r="L135" i="3"/>
  <c r="M135" i="3"/>
  <c r="R11" i="4" s="1"/>
  <c r="W9" i="5"/>
  <c r="X9" i="5" s="1"/>
  <c r="H11" i="4"/>
  <c r="F167" i="3"/>
  <c r="I167" i="3" s="1"/>
  <c r="L166" i="3"/>
  <c r="M166" i="3"/>
  <c r="S11" i="4" s="1"/>
  <c r="J11" i="4"/>
  <c r="F229" i="3"/>
  <c r="I229" i="3" s="1"/>
  <c r="L228" i="3"/>
  <c r="M228" i="3"/>
  <c r="K10" i="4"/>
  <c r="F259" i="3"/>
  <c r="I259" i="3" s="1"/>
  <c r="L258" i="3"/>
  <c r="V10" i="5" s="1"/>
  <c r="M258" i="3"/>
  <c r="V10" i="4" s="1"/>
  <c r="L11" i="4"/>
  <c r="F291" i="3"/>
  <c r="I291" i="3" s="1"/>
  <c r="L290" i="3"/>
  <c r="M290" i="3"/>
  <c r="W11" i="4" s="1"/>
  <c r="I11" i="4"/>
  <c r="F198" i="3"/>
  <c r="I198" i="3" s="1"/>
  <c r="L197" i="3"/>
  <c r="M197" i="3"/>
  <c r="T11" i="4" s="1"/>
  <c r="C13" i="4"/>
  <c r="F14" i="3"/>
  <c r="I14" i="3" s="1"/>
  <c r="L13" i="3"/>
  <c r="M13" i="3"/>
  <c r="N13" i="4" s="1"/>
  <c r="D13" i="4"/>
  <c r="F45" i="3"/>
  <c r="I45" i="3" s="1"/>
  <c r="L44" i="3"/>
  <c r="M44" i="3"/>
  <c r="O13" i="4" s="1"/>
  <c r="E13" i="4"/>
  <c r="F76" i="3"/>
  <c r="I76" i="3" s="1"/>
  <c r="L75" i="3"/>
  <c r="M75" i="3"/>
  <c r="P13" i="4" s="1"/>
  <c r="F13" i="4"/>
  <c r="F107" i="3"/>
  <c r="I107" i="3" s="1"/>
  <c r="L106" i="3"/>
  <c r="M106" i="3"/>
  <c r="Q13" i="4" s="1"/>
  <c r="F14" i="4" l="1"/>
  <c r="F108" i="3"/>
  <c r="I108" i="3" s="1"/>
  <c r="L107" i="3"/>
  <c r="M107" i="3"/>
  <c r="Q14" i="4" s="1"/>
  <c r="E14" i="4"/>
  <c r="F77" i="3"/>
  <c r="I77" i="3" s="1"/>
  <c r="L76" i="3"/>
  <c r="M76" i="3"/>
  <c r="P14" i="4" s="1"/>
  <c r="D14" i="4"/>
  <c r="F46" i="3"/>
  <c r="I46" i="3" s="1"/>
  <c r="L45" i="3"/>
  <c r="M45" i="3"/>
  <c r="O14" i="4" s="1"/>
  <c r="C14" i="4"/>
  <c r="F15" i="3"/>
  <c r="I15" i="3" s="1"/>
  <c r="L14" i="3"/>
  <c r="M14" i="3"/>
  <c r="N14" i="4" s="1"/>
  <c r="I12" i="4"/>
  <c r="F199" i="3"/>
  <c r="I199" i="3" s="1"/>
  <c r="L198" i="3"/>
  <c r="M198" i="3"/>
  <c r="T12" i="4" s="1"/>
  <c r="L12" i="4"/>
  <c r="F292" i="3"/>
  <c r="I292" i="3" s="1"/>
  <c r="L291" i="3"/>
  <c r="M291" i="3"/>
  <c r="W12" i="4" s="1"/>
  <c r="W10" i="5"/>
  <c r="X10" i="5" s="1"/>
  <c r="K11" i="4"/>
  <c r="F260" i="3"/>
  <c r="I260" i="3" s="1"/>
  <c r="L259" i="3"/>
  <c r="M259" i="3"/>
  <c r="V11" i="4" s="1"/>
  <c r="J12" i="4"/>
  <c r="F230" i="3"/>
  <c r="I230" i="3" s="1"/>
  <c r="L229" i="3"/>
  <c r="M229" i="3"/>
  <c r="U12" i="4" s="1"/>
  <c r="H12" i="4"/>
  <c r="F168" i="3"/>
  <c r="I168" i="3" s="1"/>
  <c r="L167" i="3"/>
  <c r="M167" i="3"/>
  <c r="S12" i="4" s="1"/>
  <c r="V11" i="5"/>
  <c r="G12" i="4"/>
  <c r="F137" i="3"/>
  <c r="I137" i="3" s="1"/>
  <c r="L136" i="3"/>
  <c r="M136" i="3"/>
  <c r="R12" i="4" s="1"/>
  <c r="G13" i="4" l="1"/>
  <c r="F138" i="3"/>
  <c r="I138" i="3" s="1"/>
  <c r="L137" i="3"/>
  <c r="M137" i="3"/>
  <c r="R13" i="4" s="1"/>
  <c r="W11" i="5"/>
  <c r="X11" i="5" s="1"/>
  <c r="H13" i="4"/>
  <c r="F169" i="3"/>
  <c r="I169" i="3" s="1"/>
  <c r="L168" i="3"/>
  <c r="M168" i="3"/>
  <c r="S13" i="4" s="1"/>
  <c r="J13" i="4"/>
  <c r="F231" i="3"/>
  <c r="I231" i="3" s="1"/>
  <c r="L230" i="3"/>
  <c r="M230" i="3"/>
  <c r="U13" i="4" s="1"/>
  <c r="K12" i="4"/>
  <c r="F261" i="3"/>
  <c r="I261" i="3" s="1"/>
  <c r="L260" i="3"/>
  <c r="V12" i="5" s="1"/>
  <c r="M260" i="3"/>
  <c r="V12" i="4" s="1"/>
  <c r="L13" i="4"/>
  <c r="F293" i="3"/>
  <c r="I293" i="3" s="1"/>
  <c r="L292" i="3"/>
  <c r="M292" i="3"/>
  <c r="W13" i="4" s="1"/>
  <c r="I13" i="4"/>
  <c r="F200" i="3"/>
  <c r="I200" i="3" s="1"/>
  <c r="L199" i="3"/>
  <c r="M199" i="3"/>
  <c r="T13" i="4" s="1"/>
  <c r="C15" i="4"/>
  <c r="F16" i="3"/>
  <c r="L15" i="3"/>
  <c r="M15" i="3"/>
  <c r="N15" i="4" s="1"/>
  <c r="D15" i="4"/>
  <c r="F47" i="3"/>
  <c r="I47" i="3" s="1"/>
  <c r="L46" i="3"/>
  <c r="M46" i="3"/>
  <c r="O15" i="4" s="1"/>
  <c r="E15" i="4"/>
  <c r="F78" i="3"/>
  <c r="I78" i="3" s="1"/>
  <c r="L77" i="3"/>
  <c r="M77" i="3"/>
  <c r="P15" i="4" s="1"/>
  <c r="F15" i="4"/>
  <c r="F109" i="3"/>
  <c r="I109" i="3" s="1"/>
  <c r="L108" i="3"/>
  <c r="M108" i="3"/>
  <c r="Q15" i="4" s="1"/>
  <c r="F16" i="4" l="1"/>
  <c r="F110" i="3"/>
  <c r="I110" i="3" s="1"/>
  <c r="L109" i="3"/>
  <c r="M109" i="3"/>
  <c r="Q16" i="4" s="1"/>
  <c r="E16" i="4"/>
  <c r="F79" i="3"/>
  <c r="I79" i="3" s="1"/>
  <c r="L78" i="3"/>
  <c r="M78" i="3"/>
  <c r="P16" i="4" s="1"/>
  <c r="D16" i="4"/>
  <c r="F48" i="3"/>
  <c r="I48" i="3" s="1"/>
  <c r="L47" i="3"/>
  <c r="M47" i="3"/>
  <c r="O16" i="4" s="1"/>
  <c r="C16" i="4"/>
  <c r="F17" i="3"/>
  <c r="I17" i="3" s="1"/>
  <c r="L16" i="3"/>
  <c r="M16" i="3"/>
  <c r="N16" i="4" s="1"/>
  <c r="I14" i="4"/>
  <c r="F201" i="3"/>
  <c r="I201" i="3" s="1"/>
  <c r="L200" i="3"/>
  <c r="M200" i="3"/>
  <c r="T14" i="4" s="1"/>
  <c r="L14" i="4"/>
  <c r="F294" i="3"/>
  <c r="I294" i="3" s="1"/>
  <c r="L293" i="3"/>
  <c r="M293" i="3"/>
  <c r="W14" i="4" s="1"/>
  <c r="W12" i="5"/>
  <c r="X12" i="5" s="1"/>
  <c r="K13" i="4"/>
  <c r="F262" i="3"/>
  <c r="I262" i="3" s="1"/>
  <c r="L261" i="3"/>
  <c r="M261" i="3"/>
  <c r="V13" i="4" s="1"/>
  <c r="J14" i="4"/>
  <c r="F232" i="3"/>
  <c r="I232" i="3" s="1"/>
  <c r="L231" i="3"/>
  <c r="M231" i="3"/>
  <c r="U14" i="4" s="1"/>
  <c r="H14" i="4"/>
  <c r="F170" i="3"/>
  <c r="I170" i="3" s="1"/>
  <c r="L169" i="3"/>
  <c r="M169" i="3"/>
  <c r="S14" i="4" s="1"/>
  <c r="V13" i="5"/>
  <c r="G14" i="4"/>
  <c r="F139" i="3"/>
  <c r="I139" i="3" s="1"/>
  <c r="L138" i="3"/>
  <c r="M138" i="3"/>
  <c r="R14" i="4" s="1"/>
  <c r="G15" i="4" l="1"/>
  <c r="F140" i="3"/>
  <c r="I140" i="3" s="1"/>
  <c r="L139" i="3"/>
  <c r="M139" i="3"/>
  <c r="R15" i="4" s="1"/>
  <c r="W13" i="5"/>
  <c r="X13" i="5"/>
  <c r="H15" i="4"/>
  <c r="F171" i="3"/>
  <c r="I171" i="3" s="1"/>
  <c r="L170" i="3"/>
  <c r="M170" i="3"/>
  <c r="S15" i="4" s="1"/>
  <c r="J15" i="4"/>
  <c r="F233" i="3"/>
  <c r="I233" i="3" s="1"/>
  <c r="L232" i="3"/>
  <c r="M232" i="3"/>
  <c r="U15" i="4" s="1"/>
  <c r="K14" i="4"/>
  <c r="F263" i="3"/>
  <c r="I263" i="3" s="1"/>
  <c r="L262" i="3"/>
  <c r="V14" i="5" s="1"/>
  <c r="M262" i="3"/>
  <c r="V14" i="4" s="1"/>
  <c r="L15" i="4"/>
  <c r="F295" i="3"/>
  <c r="I295" i="3" s="1"/>
  <c r="L294" i="3"/>
  <c r="M294" i="3"/>
  <c r="W15" i="4" s="1"/>
  <c r="I15" i="4"/>
  <c r="F202" i="3"/>
  <c r="I202" i="3" s="1"/>
  <c r="L201" i="3"/>
  <c r="M201" i="3"/>
  <c r="T15" i="4" s="1"/>
  <c r="C17" i="4"/>
  <c r="F18" i="3"/>
  <c r="I18" i="3" s="1"/>
  <c r="L17" i="3"/>
  <c r="M17" i="3"/>
  <c r="N17" i="4" s="1"/>
  <c r="D17" i="4"/>
  <c r="F49" i="3"/>
  <c r="I49" i="3" s="1"/>
  <c r="L48" i="3"/>
  <c r="M48" i="3"/>
  <c r="O17" i="4" s="1"/>
  <c r="E17" i="4"/>
  <c r="F80" i="3"/>
  <c r="I80" i="3" s="1"/>
  <c r="L79" i="3"/>
  <c r="M79" i="3"/>
  <c r="P17" i="4" s="1"/>
  <c r="F17" i="4"/>
  <c r="F111" i="3"/>
  <c r="I111" i="3" s="1"/>
  <c r="L110" i="3"/>
  <c r="M110" i="3"/>
  <c r="Q17" i="4" s="1"/>
  <c r="F18" i="4" l="1"/>
  <c r="F112" i="3"/>
  <c r="I112" i="3" s="1"/>
  <c r="L111" i="3"/>
  <c r="M111" i="3"/>
  <c r="Q18" i="4" s="1"/>
  <c r="E18" i="4"/>
  <c r="F81" i="3"/>
  <c r="I81" i="3" s="1"/>
  <c r="L80" i="3"/>
  <c r="M80" i="3"/>
  <c r="P18" i="4" s="1"/>
  <c r="D18" i="4"/>
  <c r="F50" i="3"/>
  <c r="I50" i="3" s="1"/>
  <c r="L49" i="3"/>
  <c r="M49" i="3"/>
  <c r="O18" i="4" s="1"/>
  <c r="C18" i="4"/>
  <c r="F19" i="3"/>
  <c r="I19" i="3" s="1"/>
  <c r="L18" i="3"/>
  <c r="M18" i="3"/>
  <c r="N18" i="4" s="1"/>
  <c r="I16" i="4"/>
  <c r="F203" i="3"/>
  <c r="I203" i="3" s="1"/>
  <c r="L202" i="3"/>
  <c r="M202" i="3"/>
  <c r="T16" i="4" s="1"/>
  <c r="L16" i="4"/>
  <c r="F296" i="3"/>
  <c r="I296" i="3" s="1"/>
  <c r="L295" i="3"/>
  <c r="M295" i="3"/>
  <c r="W16" i="4" s="1"/>
  <c r="W14" i="5"/>
  <c r="X14" i="5" s="1"/>
  <c r="K15" i="4"/>
  <c r="F264" i="3"/>
  <c r="I264" i="3" s="1"/>
  <c r="L263" i="3"/>
  <c r="M263" i="3"/>
  <c r="V15" i="4" s="1"/>
  <c r="J16" i="4"/>
  <c r="F234" i="3"/>
  <c r="I234" i="3" s="1"/>
  <c r="L233" i="3"/>
  <c r="M233" i="3"/>
  <c r="U16" i="4" s="1"/>
  <c r="H16" i="4"/>
  <c r="F172" i="3"/>
  <c r="I172" i="3" s="1"/>
  <c r="L171" i="3"/>
  <c r="M171" i="3"/>
  <c r="S16" i="4" s="1"/>
  <c r="V15" i="5"/>
  <c r="G16" i="4"/>
  <c r="F141" i="3"/>
  <c r="I141" i="3" s="1"/>
  <c r="L140" i="3"/>
  <c r="M140" i="3"/>
  <c r="R16" i="4" s="1"/>
  <c r="G17" i="4" l="1"/>
  <c r="F142" i="3"/>
  <c r="I142" i="3" s="1"/>
  <c r="L141" i="3"/>
  <c r="M141" i="3"/>
  <c r="R17" i="4" s="1"/>
  <c r="W15" i="5"/>
  <c r="X15" i="5"/>
  <c r="H17" i="4"/>
  <c r="F173" i="3"/>
  <c r="I173" i="3" s="1"/>
  <c r="L172" i="3"/>
  <c r="M172" i="3"/>
  <c r="S17" i="4" s="1"/>
  <c r="J17" i="4"/>
  <c r="F235" i="3"/>
  <c r="I235" i="3" s="1"/>
  <c r="L234" i="3"/>
  <c r="M234" i="3"/>
  <c r="U17" i="4" s="1"/>
  <c r="K16" i="4"/>
  <c r="F265" i="3"/>
  <c r="I265" i="3" s="1"/>
  <c r="L264" i="3"/>
  <c r="V16" i="5" s="1"/>
  <c r="M264" i="3"/>
  <c r="V16" i="4" s="1"/>
  <c r="L17" i="4"/>
  <c r="F297" i="3"/>
  <c r="I297" i="3" s="1"/>
  <c r="L296" i="3"/>
  <c r="M296" i="3"/>
  <c r="W17" i="4" s="1"/>
  <c r="I17" i="4"/>
  <c r="F204" i="3"/>
  <c r="I204" i="3" s="1"/>
  <c r="L203" i="3"/>
  <c r="M203" i="3"/>
  <c r="T17" i="4" s="1"/>
  <c r="C19" i="4"/>
  <c r="F20" i="3"/>
  <c r="I20" i="3" s="1"/>
  <c r="L19" i="3"/>
  <c r="M19" i="3"/>
  <c r="N19" i="4" s="1"/>
  <c r="D19" i="4"/>
  <c r="F51" i="3"/>
  <c r="I51" i="3" s="1"/>
  <c r="L50" i="3"/>
  <c r="M50" i="3"/>
  <c r="O19" i="4" s="1"/>
  <c r="E19" i="4"/>
  <c r="F82" i="3"/>
  <c r="I82" i="3" s="1"/>
  <c r="L81" i="3"/>
  <c r="M81" i="3"/>
  <c r="P19" i="4" s="1"/>
  <c r="F19" i="4"/>
  <c r="F113" i="3"/>
  <c r="I113" i="3" s="1"/>
  <c r="L112" i="3"/>
  <c r="M112" i="3"/>
  <c r="Q19" i="4" s="1"/>
  <c r="F20" i="4" l="1"/>
  <c r="F114" i="3"/>
  <c r="I114" i="3" s="1"/>
  <c r="L113" i="3"/>
  <c r="M113" i="3"/>
  <c r="Q20" i="4" s="1"/>
  <c r="E20" i="4"/>
  <c r="F83" i="3"/>
  <c r="I83" i="3" s="1"/>
  <c r="L82" i="3"/>
  <c r="M82" i="3"/>
  <c r="P20" i="4" s="1"/>
  <c r="D20" i="4"/>
  <c r="F52" i="3"/>
  <c r="I52" i="3" s="1"/>
  <c r="L51" i="3"/>
  <c r="M51" i="3"/>
  <c r="O20" i="4" s="1"/>
  <c r="C20" i="4"/>
  <c r="F21" i="3"/>
  <c r="I21" i="3" s="1"/>
  <c r="L20" i="3"/>
  <c r="M20" i="3"/>
  <c r="N20" i="4" s="1"/>
  <c r="I18" i="4"/>
  <c r="F205" i="3"/>
  <c r="I205" i="3" s="1"/>
  <c r="L204" i="3"/>
  <c r="M204" i="3"/>
  <c r="T18" i="4" s="1"/>
  <c r="L18" i="4"/>
  <c r="F298" i="3"/>
  <c r="I298" i="3" s="1"/>
  <c r="L297" i="3"/>
  <c r="M297" i="3"/>
  <c r="W18" i="4" s="1"/>
  <c r="W16" i="5"/>
  <c r="X16" i="5" s="1"/>
  <c r="K17" i="4"/>
  <c r="F266" i="3"/>
  <c r="I266" i="3" s="1"/>
  <c r="L265" i="3"/>
  <c r="M265" i="3"/>
  <c r="V17" i="4" s="1"/>
  <c r="J18" i="4"/>
  <c r="F236" i="3"/>
  <c r="I236" i="3" s="1"/>
  <c r="L235" i="3"/>
  <c r="M235" i="3"/>
  <c r="U18" i="4" s="1"/>
  <c r="H18" i="4"/>
  <c r="F174" i="3"/>
  <c r="I174" i="3" s="1"/>
  <c r="L173" i="3"/>
  <c r="M173" i="3"/>
  <c r="S18" i="4" s="1"/>
  <c r="V17" i="5"/>
  <c r="G18" i="4"/>
  <c r="F143" i="3"/>
  <c r="I143" i="3" s="1"/>
  <c r="L142" i="3"/>
  <c r="M142" i="3"/>
  <c r="R18" i="4" s="1"/>
  <c r="G19" i="4" l="1"/>
  <c r="F144" i="3"/>
  <c r="I144" i="3" s="1"/>
  <c r="L143" i="3"/>
  <c r="M143" i="3"/>
  <c r="R19" i="4" s="1"/>
  <c r="W17" i="5"/>
  <c r="X17" i="5"/>
  <c r="H19" i="4"/>
  <c r="F175" i="3"/>
  <c r="I175" i="3" s="1"/>
  <c r="L174" i="3"/>
  <c r="M174" i="3"/>
  <c r="S19" i="4" s="1"/>
  <c r="J19" i="4"/>
  <c r="F237" i="3"/>
  <c r="I237" i="3" s="1"/>
  <c r="L236" i="3"/>
  <c r="M236" i="3"/>
  <c r="U19" i="4" s="1"/>
  <c r="K18" i="4"/>
  <c r="F267" i="3"/>
  <c r="I267" i="3" s="1"/>
  <c r="L266" i="3"/>
  <c r="V18" i="5" s="1"/>
  <c r="M266" i="3"/>
  <c r="V18" i="4" s="1"/>
  <c r="L19" i="4"/>
  <c r="F299" i="3"/>
  <c r="I299" i="3" s="1"/>
  <c r="L298" i="3"/>
  <c r="M298" i="3"/>
  <c r="W19" i="4" s="1"/>
  <c r="I19" i="4"/>
  <c r="F206" i="3"/>
  <c r="I206" i="3" s="1"/>
  <c r="L205" i="3"/>
  <c r="M205" i="3"/>
  <c r="T19" i="4" s="1"/>
  <c r="C21" i="4"/>
  <c r="F22" i="3"/>
  <c r="I22" i="3" s="1"/>
  <c r="L21" i="3"/>
  <c r="M21" i="3"/>
  <c r="N21" i="4" s="1"/>
  <c r="D21" i="4"/>
  <c r="F53" i="3"/>
  <c r="I53" i="3" s="1"/>
  <c r="L52" i="3"/>
  <c r="M52" i="3"/>
  <c r="O21" i="4" s="1"/>
  <c r="E21" i="4"/>
  <c r="F84" i="3"/>
  <c r="I84" i="3" s="1"/>
  <c r="L83" i="3"/>
  <c r="M83" i="3"/>
  <c r="P21" i="4" s="1"/>
  <c r="F21" i="4"/>
  <c r="F115" i="3"/>
  <c r="I115" i="3" s="1"/>
  <c r="L114" i="3"/>
  <c r="M114" i="3"/>
  <c r="Q21" i="4" s="1"/>
  <c r="F22" i="4" l="1"/>
  <c r="F116" i="3"/>
  <c r="I116" i="3" s="1"/>
  <c r="L115" i="3"/>
  <c r="M115" i="3"/>
  <c r="Q22" i="4" s="1"/>
  <c r="E22" i="4"/>
  <c r="F85" i="3"/>
  <c r="I85" i="3" s="1"/>
  <c r="L84" i="3"/>
  <c r="M84" i="3"/>
  <c r="P22" i="4" s="1"/>
  <c r="D22" i="4"/>
  <c r="F54" i="3"/>
  <c r="I54" i="3" s="1"/>
  <c r="L53" i="3"/>
  <c r="M53" i="3"/>
  <c r="O22" i="4" s="1"/>
  <c r="C22" i="4"/>
  <c r="F23" i="3"/>
  <c r="I23" i="3" s="1"/>
  <c r="L22" i="3"/>
  <c r="M22" i="3"/>
  <c r="N22" i="4" s="1"/>
  <c r="I20" i="4"/>
  <c r="F207" i="3"/>
  <c r="I207" i="3" s="1"/>
  <c r="L206" i="3"/>
  <c r="M206" i="3"/>
  <c r="T20" i="4" s="1"/>
  <c r="L20" i="4"/>
  <c r="F300" i="3"/>
  <c r="I300" i="3" s="1"/>
  <c r="L299" i="3"/>
  <c r="M299" i="3"/>
  <c r="W20" i="4" s="1"/>
  <c r="W18" i="5"/>
  <c r="X18" i="5" s="1"/>
  <c r="K19" i="4"/>
  <c r="F268" i="3"/>
  <c r="I268" i="3" s="1"/>
  <c r="L267" i="3"/>
  <c r="M267" i="3"/>
  <c r="V19" i="4" s="1"/>
  <c r="J20" i="4"/>
  <c r="F238" i="3"/>
  <c r="I238" i="3" s="1"/>
  <c r="L237" i="3"/>
  <c r="M237" i="3"/>
  <c r="U20" i="4" s="1"/>
  <c r="H20" i="4"/>
  <c r="F176" i="3"/>
  <c r="I176" i="3" s="1"/>
  <c r="L175" i="3"/>
  <c r="M175" i="3"/>
  <c r="S20" i="4" s="1"/>
  <c r="V19" i="5"/>
  <c r="G20" i="4"/>
  <c r="F145" i="3"/>
  <c r="I145" i="3" s="1"/>
  <c r="L144" i="3"/>
  <c r="M144" i="3"/>
  <c r="R20" i="4" s="1"/>
  <c r="G21" i="4" l="1"/>
  <c r="F146" i="3"/>
  <c r="I146" i="3" s="1"/>
  <c r="L145" i="3"/>
  <c r="M145" i="3"/>
  <c r="R21" i="4" s="1"/>
  <c r="W19" i="5"/>
  <c r="X19" i="5"/>
  <c r="H21" i="4"/>
  <c r="F177" i="3"/>
  <c r="I177" i="3" s="1"/>
  <c r="L176" i="3"/>
  <c r="M176" i="3"/>
  <c r="S21" i="4" s="1"/>
  <c r="J21" i="4"/>
  <c r="F239" i="3"/>
  <c r="I239" i="3" s="1"/>
  <c r="L238" i="3"/>
  <c r="M238" i="3"/>
  <c r="U21" i="4" s="1"/>
  <c r="K20" i="4"/>
  <c r="F269" i="3"/>
  <c r="I269" i="3" s="1"/>
  <c r="L268" i="3"/>
  <c r="V20" i="5" s="1"/>
  <c r="M268" i="3"/>
  <c r="V20" i="4" s="1"/>
  <c r="L21" i="4"/>
  <c r="F301" i="3"/>
  <c r="I301" i="3" s="1"/>
  <c r="L300" i="3"/>
  <c r="M300" i="3"/>
  <c r="W21" i="4" s="1"/>
  <c r="I21" i="4"/>
  <c r="F208" i="3"/>
  <c r="I208" i="3" s="1"/>
  <c r="L207" i="3"/>
  <c r="M207" i="3"/>
  <c r="T21" i="4" s="1"/>
  <c r="C23" i="4"/>
  <c r="F24" i="3"/>
  <c r="I24" i="3" s="1"/>
  <c r="L23" i="3"/>
  <c r="M23" i="3"/>
  <c r="N23" i="4" s="1"/>
  <c r="D23" i="4"/>
  <c r="F55" i="3"/>
  <c r="I55" i="3" s="1"/>
  <c r="L54" i="3"/>
  <c r="M54" i="3"/>
  <c r="O23" i="4" s="1"/>
  <c r="E23" i="4"/>
  <c r="F86" i="3"/>
  <c r="I86" i="3" s="1"/>
  <c r="L85" i="3"/>
  <c r="M85" i="3"/>
  <c r="P23" i="4" s="1"/>
  <c r="F23" i="4"/>
  <c r="F117" i="3"/>
  <c r="I117" i="3" s="1"/>
  <c r="L116" i="3"/>
  <c r="M116" i="3"/>
  <c r="Q23" i="4" s="1"/>
  <c r="F24" i="4" l="1"/>
  <c r="F118" i="3"/>
  <c r="I118" i="3" s="1"/>
  <c r="L117" i="3"/>
  <c r="M117" i="3"/>
  <c r="Q24" i="4" s="1"/>
  <c r="E24" i="4"/>
  <c r="F87" i="3"/>
  <c r="I87" i="3" s="1"/>
  <c r="L86" i="3"/>
  <c r="M86" i="3"/>
  <c r="P24" i="4" s="1"/>
  <c r="D24" i="4"/>
  <c r="F56" i="3"/>
  <c r="I56" i="3" s="1"/>
  <c r="L55" i="3"/>
  <c r="M55" i="3"/>
  <c r="O24" i="4" s="1"/>
  <c r="C24" i="4"/>
  <c r="F25" i="3"/>
  <c r="I25" i="3" s="1"/>
  <c r="L24" i="3"/>
  <c r="M24" i="3"/>
  <c r="N24" i="4" s="1"/>
  <c r="I22" i="4"/>
  <c r="F209" i="3"/>
  <c r="I209" i="3" s="1"/>
  <c r="L208" i="3"/>
  <c r="M208" i="3"/>
  <c r="T22" i="4" s="1"/>
  <c r="L22" i="4"/>
  <c r="F302" i="3"/>
  <c r="I302" i="3" s="1"/>
  <c r="L301" i="3"/>
  <c r="M301" i="3"/>
  <c r="W22" i="4" s="1"/>
  <c r="W20" i="5"/>
  <c r="X20" i="5" s="1"/>
  <c r="K21" i="4"/>
  <c r="F270" i="3"/>
  <c r="I270" i="3" s="1"/>
  <c r="L269" i="3"/>
  <c r="M269" i="3"/>
  <c r="V21" i="4" s="1"/>
  <c r="J22" i="4"/>
  <c r="F240" i="3"/>
  <c r="I240" i="3" s="1"/>
  <c r="L239" i="3"/>
  <c r="M239" i="3"/>
  <c r="U22" i="4" s="1"/>
  <c r="H22" i="4"/>
  <c r="F178" i="3"/>
  <c r="I178" i="3" s="1"/>
  <c r="L177" i="3"/>
  <c r="M177" i="3"/>
  <c r="S22" i="4" s="1"/>
  <c r="V21" i="5"/>
  <c r="G22" i="4"/>
  <c r="F147" i="3"/>
  <c r="I147" i="3" s="1"/>
  <c r="L146" i="3"/>
  <c r="M146" i="3"/>
  <c r="R22" i="4" s="1"/>
  <c r="G23" i="4" l="1"/>
  <c r="F148" i="3"/>
  <c r="I148" i="3" s="1"/>
  <c r="L147" i="3"/>
  <c r="M147" i="3"/>
  <c r="R23" i="4" s="1"/>
  <c r="W21" i="5"/>
  <c r="X21" i="5"/>
  <c r="H23" i="4"/>
  <c r="F179" i="3"/>
  <c r="I179" i="3" s="1"/>
  <c r="L178" i="3"/>
  <c r="M178" i="3"/>
  <c r="S23" i="4" s="1"/>
  <c r="J23" i="4"/>
  <c r="F241" i="3"/>
  <c r="I241" i="3" s="1"/>
  <c r="L240" i="3"/>
  <c r="M240" i="3"/>
  <c r="U23" i="4" s="1"/>
  <c r="K22" i="4"/>
  <c r="F271" i="3"/>
  <c r="I271" i="3" s="1"/>
  <c r="L270" i="3"/>
  <c r="V22" i="5" s="1"/>
  <c r="M270" i="3"/>
  <c r="V22" i="4" s="1"/>
  <c r="L23" i="4"/>
  <c r="F303" i="3"/>
  <c r="I303" i="3" s="1"/>
  <c r="L302" i="3"/>
  <c r="M302" i="3"/>
  <c r="W23" i="4" s="1"/>
  <c r="I23" i="4"/>
  <c r="F210" i="3"/>
  <c r="I210" i="3" s="1"/>
  <c r="L209" i="3"/>
  <c r="M209" i="3"/>
  <c r="T23" i="4" s="1"/>
  <c r="C25" i="4"/>
  <c r="F26" i="3"/>
  <c r="I26" i="3" s="1"/>
  <c r="L25" i="3"/>
  <c r="M25" i="3"/>
  <c r="N25" i="4" s="1"/>
  <c r="D25" i="4"/>
  <c r="F57" i="3"/>
  <c r="I57" i="3" s="1"/>
  <c r="L56" i="3"/>
  <c r="M56" i="3"/>
  <c r="O25" i="4" s="1"/>
  <c r="E25" i="4"/>
  <c r="F88" i="3"/>
  <c r="I88" i="3" s="1"/>
  <c r="L87" i="3"/>
  <c r="M87" i="3"/>
  <c r="P25" i="4" s="1"/>
  <c r="F25" i="4"/>
  <c r="F119" i="3"/>
  <c r="I119" i="3" s="1"/>
  <c r="L118" i="3"/>
  <c r="M118" i="3"/>
  <c r="Q25" i="4" s="1"/>
  <c r="F26" i="4" l="1"/>
  <c r="F120" i="3"/>
  <c r="I120" i="3" s="1"/>
  <c r="L119" i="3"/>
  <c r="M119" i="3"/>
  <c r="Q26" i="4" s="1"/>
  <c r="E26" i="4"/>
  <c r="F89" i="3"/>
  <c r="I89" i="3" s="1"/>
  <c r="L88" i="3"/>
  <c r="M88" i="3"/>
  <c r="P26" i="4" s="1"/>
  <c r="D26" i="4"/>
  <c r="F58" i="3"/>
  <c r="I58" i="3" s="1"/>
  <c r="L57" i="3"/>
  <c r="M57" i="3"/>
  <c r="O26" i="4" s="1"/>
  <c r="C26" i="4"/>
  <c r="F27" i="3"/>
  <c r="I27" i="3" s="1"/>
  <c r="L26" i="3"/>
  <c r="M26" i="3"/>
  <c r="N26" i="4" s="1"/>
  <c r="I24" i="4"/>
  <c r="F211" i="3"/>
  <c r="I211" i="3" s="1"/>
  <c r="L210" i="3"/>
  <c r="M210" i="3"/>
  <c r="T24" i="4" s="1"/>
  <c r="L24" i="4"/>
  <c r="F304" i="3"/>
  <c r="I304" i="3" s="1"/>
  <c r="L303" i="3"/>
  <c r="M303" i="3"/>
  <c r="W24" i="4" s="1"/>
  <c r="W22" i="5"/>
  <c r="X22" i="5" s="1"/>
  <c r="K23" i="4"/>
  <c r="F272" i="3"/>
  <c r="I272" i="3" s="1"/>
  <c r="L271" i="3"/>
  <c r="M271" i="3"/>
  <c r="V23" i="4" s="1"/>
  <c r="J24" i="4"/>
  <c r="F242" i="3"/>
  <c r="I242" i="3" s="1"/>
  <c r="L241" i="3"/>
  <c r="M241" i="3"/>
  <c r="U24" i="4" s="1"/>
  <c r="H24" i="4"/>
  <c r="F180" i="3"/>
  <c r="I180" i="3" s="1"/>
  <c r="L179" i="3"/>
  <c r="M179" i="3"/>
  <c r="S24" i="4" s="1"/>
  <c r="V23" i="5"/>
  <c r="G24" i="4"/>
  <c r="F149" i="3"/>
  <c r="I149" i="3" s="1"/>
  <c r="L148" i="3"/>
  <c r="M148" i="3"/>
  <c r="R24" i="4" s="1"/>
  <c r="G25" i="4" l="1"/>
  <c r="F150" i="3"/>
  <c r="I150" i="3" s="1"/>
  <c r="L149" i="3"/>
  <c r="M149" i="3"/>
  <c r="R25" i="4" s="1"/>
  <c r="W23" i="5"/>
  <c r="X23" i="5"/>
  <c r="H25" i="4"/>
  <c r="F181" i="3"/>
  <c r="I181" i="3" s="1"/>
  <c r="L180" i="3"/>
  <c r="M180" i="3"/>
  <c r="S25" i="4" s="1"/>
  <c r="J25" i="4"/>
  <c r="F243" i="3"/>
  <c r="I243" i="3" s="1"/>
  <c r="L242" i="3"/>
  <c r="M242" i="3"/>
  <c r="U25" i="4" s="1"/>
  <c r="K24" i="4"/>
  <c r="F273" i="3"/>
  <c r="I273" i="3" s="1"/>
  <c r="L272" i="3"/>
  <c r="V24" i="5" s="1"/>
  <c r="M272" i="3"/>
  <c r="V24" i="4" s="1"/>
  <c r="L25" i="4"/>
  <c r="F305" i="3"/>
  <c r="I305" i="3" s="1"/>
  <c r="L304" i="3"/>
  <c r="M304" i="3"/>
  <c r="W25" i="4" s="1"/>
  <c r="I25" i="4"/>
  <c r="F212" i="3"/>
  <c r="I212" i="3" s="1"/>
  <c r="L211" i="3"/>
  <c r="M211" i="3"/>
  <c r="T25" i="4" s="1"/>
  <c r="C27" i="4"/>
  <c r="F28" i="3"/>
  <c r="I28" i="3" s="1"/>
  <c r="L27" i="3"/>
  <c r="M27" i="3"/>
  <c r="N27" i="4" s="1"/>
  <c r="D27" i="4"/>
  <c r="F59" i="3"/>
  <c r="I59" i="3" s="1"/>
  <c r="L58" i="3"/>
  <c r="M58" i="3"/>
  <c r="O27" i="4" s="1"/>
  <c r="E27" i="4"/>
  <c r="F90" i="3"/>
  <c r="I90" i="3" s="1"/>
  <c r="L89" i="3"/>
  <c r="M89" i="3"/>
  <c r="P27" i="4" s="1"/>
  <c r="F27" i="4"/>
  <c r="F121" i="3"/>
  <c r="I121" i="3" s="1"/>
  <c r="L120" i="3"/>
  <c r="M120" i="3"/>
  <c r="Q27" i="4" s="1"/>
  <c r="F28" i="4" l="1"/>
  <c r="F122" i="3"/>
  <c r="I122" i="3" s="1"/>
  <c r="L121" i="3"/>
  <c r="M121" i="3"/>
  <c r="Q28" i="4" s="1"/>
  <c r="E28" i="4"/>
  <c r="F91" i="3"/>
  <c r="I91" i="3" s="1"/>
  <c r="L90" i="3"/>
  <c r="M90" i="3"/>
  <c r="P28" i="4" s="1"/>
  <c r="D28" i="4"/>
  <c r="F60" i="3"/>
  <c r="I60" i="3" s="1"/>
  <c r="L59" i="3"/>
  <c r="M59" i="3"/>
  <c r="O28" i="4" s="1"/>
  <c r="C28" i="4"/>
  <c r="F29" i="3"/>
  <c r="I29" i="3" s="1"/>
  <c r="L28" i="3"/>
  <c r="M28" i="3"/>
  <c r="N28" i="4" s="1"/>
  <c r="I26" i="4"/>
  <c r="F213" i="3"/>
  <c r="I213" i="3" s="1"/>
  <c r="L212" i="3"/>
  <c r="M212" i="3"/>
  <c r="T26" i="4" s="1"/>
  <c r="L26" i="4"/>
  <c r="F306" i="3"/>
  <c r="I306" i="3" s="1"/>
  <c r="L305" i="3"/>
  <c r="M305" i="3"/>
  <c r="W26" i="4" s="1"/>
  <c r="W24" i="5"/>
  <c r="X24" i="5" s="1"/>
  <c r="K25" i="4"/>
  <c r="F274" i="3"/>
  <c r="I274" i="3" s="1"/>
  <c r="L273" i="3"/>
  <c r="M273" i="3"/>
  <c r="V25" i="4" s="1"/>
  <c r="J26" i="4"/>
  <c r="F244" i="3"/>
  <c r="I244" i="3" s="1"/>
  <c r="L243" i="3"/>
  <c r="M243" i="3"/>
  <c r="U26" i="4" s="1"/>
  <c r="H26" i="4"/>
  <c r="F182" i="3"/>
  <c r="I182" i="3" s="1"/>
  <c r="L181" i="3"/>
  <c r="M181" i="3"/>
  <c r="S26" i="4" s="1"/>
  <c r="V25" i="5"/>
  <c r="G26" i="4"/>
  <c r="F151" i="3"/>
  <c r="I151" i="3" s="1"/>
  <c r="L150" i="3"/>
  <c r="M150" i="3"/>
  <c r="R26" i="4" s="1"/>
  <c r="G27" i="4" l="1"/>
  <c r="F152" i="3"/>
  <c r="I152" i="3" s="1"/>
  <c r="L151" i="3"/>
  <c r="M151" i="3"/>
  <c r="R27" i="4" s="1"/>
  <c r="W25" i="5"/>
  <c r="X25" i="5"/>
  <c r="H27" i="4"/>
  <c r="F183" i="3"/>
  <c r="I183" i="3" s="1"/>
  <c r="L182" i="3"/>
  <c r="M182" i="3"/>
  <c r="S27" i="4" s="1"/>
  <c r="J27" i="4"/>
  <c r="F245" i="3"/>
  <c r="I245" i="3" s="1"/>
  <c r="L244" i="3"/>
  <c r="M244" i="3"/>
  <c r="U27" i="4" s="1"/>
  <c r="K26" i="4"/>
  <c r="F275" i="3"/>
  <c r="I275" i="3" s="1"/>
  <c r="L274" i="3"/>
  <c r="V26" i="5" s="1"/>
  <c r="M274" i="3"/>
  <c r="V26" i="4" s="1"/>
  <c r="L27" i="4"/>
  <c r="F307" i="3"/>
  <c r="I307" i="3" s="1"/>
  <c r="L306" i="3"/>
  <c r="M306" i="3"/>
  <c r="W27" i="4" s="1"/>
  <c r="I27" i="4"/>
  <c r="F214" i="3"/>
  <c r="I214" i="3" s="1"/>
  <c r="L213" i="3"/>
  <c r="M213" i="3"/>
  <c r="T27" i="4" s="1"/>
  <c r="C29" i="4"/>
  <c r="F30" i="3"/>
  <c r="I30" i="3" s="1"/>
  <c r="L29" i="3"/>
  <c r="N29" i="4"/>
  <c r="D29" i="4"/>
  <c r="F61" i="3"/>
  <c r="I61" i="3" s="1"/>
  <c r="L60" i="3"/>
  <c r="M60" i="3"/>
  <c r="O29" i="4" s="1"/>
  <c r="E29" i="4"/>
  <c r="F92" i="3"/>
  <c r="I92" i="3" s="1"/>
  <c r="L91" i="3"/>
  <c r="M91" i="3"/>
  <c r="P29" i="4" s="1"/>
  <c r="F29" i="4"/>
  <c r="F123" i="3"/>
  <c r="I123" i="3" s="1"/>
  <c r="L122" i="3"/>
  <c r="M122" i="3"/>
  <c r="Q29" i="4" s="1"/>
  <c r="F30" i="4" l="1"/>
  <c r="F124" i="3"/>
  <c r="I124" i="3" s="1"/>
  <c r="L123" i="3"/>
  <c r="M123" i="3"/>
  <c r="Q30" i="4" s="1"/>
  <c r="E30" i="4"/>
  <c r="F93" i="3"/>
  <c r="I93" i="3" s="1"/>
  <c r="L92" i="3"/>
  <c r="M92" i="3"/>
  <c r="P30" i="4" s="1"/>
  <c r="D30" i="4"/>
  <c r="F62" i="3"/>
  <c r="I62" i="3" s="1"/>
  <c r="L61" i="3"/>
  <c r="M61" i="3"/>
  <c r="O30" i="4" s="1"/>
  <c r="C30" i="4"/>
  <c r="F31" i="3"/>
  <c r="I31" i="3" s="1"/>
  <c r="L30" i="3"/>
  <c r="M30" i="3"/>
  <c r="N30" i="4" s="1"/>
  <c r="I28" i="4"/>
  <c r="F215" i="3"/>
  <c r="I215" i="3" s="1"/>
  <c r="L214" i="3"/>
  <c r="M214" i="3"/>
  <c r="T28" i="4" s="1"/>
  <c r="L28" i="4"/>
  <c r="F308" i="3"/>
  <c r="I308" i="3" s="1"/>
  <c r="L307" i="3"/>
  <c r="M307" i="3"/>
  <c r="W28" i="4" s="1"/>
  <c r="W26" i="5"/>
  <c r="X26" i="5" s="1"/>
  <c r="K27" i="4"/>
  <c r="F276" i="3"/>
  <c r="I276" i="3" s="1"/>
  <c r="L275" i="3"/>
  <c r="V27" i="5" s="1"/>
  <c r="M275" i="3"/>
  <c r="V27" i="4" s="1"/>
  <c r="J28" i="4"/>
  <c r="F246" i="3"/>
  <c r="I246" i="3" s="1"/>
  <c r="L245" i="3"/>
  <c r="M245" i="3"/>
  <c r="U28" i="4" s="1"/>
  <c r="H28" i="4"/>
  <c r="F184" i="3"/>
  <c r="I184" i="3" s="1"/>
  <c r="L183" i="3"/>
  <c r="M183" i="3"/>
  <c r="S28" i="4" s="1"/>
  <c r="G28" i="4"/>
  <c r="F153" i="3"/>
  <c r="I153" i="3" s="1"/>
  <c r="L152" i="3"/>
  <c r="M152" i="3"/>
  <c r="R28" i="4" s="1"/>
  <c r="G29" i="4" l="1"/>
  <c r="F154" i="3"/>
  <c r="I154" i="3" s="1"/>
  <c r="L153" i="3"/>
  <c r="M153" i="3"/>
  <c r="R29" i="4" s="1"/>
  <c r="W27" i="5"/>
  <c r="X27" i="5"/>
  <c r="H29" i="4"/>
  <c r="F185" i="3"/>
  <c r="I185" i="3" s="1"/>
  <c r="L184" i="3"/>
  <c r="M184" i="3"/>
  <c r="S29" i="4" s="1"/>
  <c r="J29" i="4"/>
  <c r="F247" i="3"/>
  <c r="I247" i="3" s="1"/>
  <c r="L246" i="3"/>
  <c r="M246" i="3"/>
  <c r="U29" i="4" s="1"/>
  <c r="K28" i="4"/>
  <c r="F277" i="3"/>
  <c r="I277" i="3" s="1"/>
  <c r="L276" i="3"/>
  <c r="V28" i="5" s="1"/>
  <c r="M276" i="3"/>
  <c r="V28" i="4" s="1"/>
  <c r="L29" i="4"/>
  <c r="F309" i="3"/>
  <c r="I309" i="3" s="1"/>
  <c r="L308" i="3"/>
  <c r="M308" i="3"/>
  <c r="W29" i="4" s="1"/>
  <c r="I29" i="4"/>
  <c r="F216" i="3"/>
  <c r="I216" i="3" s="1"/>
  <c r="L215" i="3"/>
  <c r="M215" i="3"/>
  <c r="T29" i="4" s="1"/>
  <c r="C31" i="4"/>
  <c r="F32" i="3"/>
  <c r="I32" i="3" s="1"/>
  <c r="L31" i="3"/>
  <c r="M31" i="3"/>
  <c r="N31" i="4" s="1"/>
  <c r="D31" i="4"/>
  <c r="F63" i="3"/>
  <c r="I63" i="3" s="1"/>
  <c r="L62" i="3"/>
  <c r="M62" i="3"/>
  <c r="O31" i="4" s="1"/>
  <c r="E31" i="4"/>
  <c r="F94" i="3"/>
  <c r="I94" i="3" s="1"/>
  <c r="L93" i="3"/>
  <c r="M93" i="3"/>
  <c r="P31" i="4" s="1"/>
  <c r="F31" i="4"/>
  <c r="F125" i="3"/>
  <c r="I125" i="3" s="1"/>
  <c r="L124" i="3"/>
  <c r="M124" i="3"/>
  <c r="Q31" i="4" s="1"/>
  <c r="F32" i="4" l="1"/>
  <c r="F126" i="3"/>
  <c r="I126" i="3" s="1"/>
  <c r="L125" i="3"/>
  <c r="M125" i="3"/>
  <c r="Q32" i="4" s="1"/>
  <c r="E32" i="4"/>
  <c r="F95" i="3"/>
  <c r="I95" i="3" s="1"/>
  <c r="L94" i="3"/>
  <c r="M94" i="3"/>
  <c r="P32" i="4" s="1"/>
  <c r="D32" i="4"/>
  <c r="F64" i="3"/>
  <c r="I64" i="3" s="1"/>
  <c r="L63" i="3"/>
  <c r="M63" i="3"/>
  <c r="O32" i="4" s="1"/>
  <c r="C32" i="4"/>
  <c r="F33" i="3"/>
  <c r="I33" i="3" s="1"/>
  <c r="L32" i="3"/>
  <c r="M32" i="3"/>
  <c r="N32" i="4" s="1"/>
  <c r="I30" i="4"/>
  <c r="F217" i="3"/>
  <c r="I217" i="3" s="1"/>
  <c r="L216" i="3"/>
  <c r="M216" i="3"/>
  <c r="T30" i="4" s="1"/>
  <c r="L30" i="4"/>
  <c r="F310" i="3"/>
  <c r="I310" i="3" s="1"/>
  <c r="L309" i="3"/>
  <c r="M309" i="3"/>
  <c r="W30" i="4" s="1"/>
  <c r="W28" i="5"/>
  <c r="X28" i="5" s="1"/>
  <c r="K29" i="4"/>
  <c r="F278" i="3"/>
  <c r="I278" i="3" s="1"/>
  <c r="L277" i="3"/>
  <c r="V29" i="5" s="1"/>
  <c r="M277" i="3"/>
  <c r="V29" i="4" s="1"/>
  <c r="J30" i="4"/>
  <c r="F248" i="3"/>
  <c r="I248" i="3" s="1"/>
  <c r="L247" i="3"/>
  <c r="M247" i="3"/>
  <c r="U30" i="4" s="1"/>
  <c r="H30" i="4"/>
  <c r="F186" i="3"/>
  <c r="I186" i="3" s="1"/>
  <c r="L185" i="3"/>
  <c r="M185" i="3"/>
  <c r="S30" i="4" s="1"/>
  <c r="G30" i="4"/>
  <c r="F155" i="3"/>
  <c r="I155" i="3" s="1"/>
  <c r="L154" i="3"/>
  <c r="M154" i="3"/>
  <c r="R30" i="4" s="1"/>
  <c r="G31" i="4" l="1"/>
  <c r="F156" i="3"/>
  <c r="I156" i="3" s="1"/>
  <c r="L155" i="3"/>
  <c r="M155" i="3"/>
  <c r="R31" i="4" s="1"/>
  <c r="W29" i="5"/>
  <c r="X29" i="5"/>
  <c r="H31" i="4"/>
  <c r="F187" i="3"/>
  <c r="I187" i="3" s="1"/>
  <c r="L186" i="3"/>
  <c r="M186" i="3"/>
  <c r="S31" i="4" s="1"/>
  <c r="J31" i="4"/>
  <c r="F249" i="3"/>
  <c r="I249" i="3" s="1"/>
  <c r="L248" i="3"/>
  <c r="M248" i="3"/>
  <c r="U31" i="4" s="1"/>
  <c r="K30" i="4"/>
  <c r="F279" i="3"/>
  <c r="I279" i="3" s="1"/>
  <c r="L278" i="3"/>
  <c r="V30" i="5" s="1"/>
  <c r="M278" i="3"/>
  <c r="V30" i="4" s="1"/>
  <c r="L31" i="4"/>
  <c r="F311" i="3"/>
  <c r="I311" i="3" s="1"/>
  <c r="L310" i="3"/>
  <c r="M310" i="3"/>
  <c r="W31" i="4" s="1"/>
  <c r="I31" i="4"/>
  <c r="F218" i="3"/>
  <c r="I218" i="3" s="1"/>
  <c r="L217" i="3"/>
  <c r="M217" i="3"/>
  <c r="T31" i="4" s="1"/>
  <c r="C33" i="4"/>
  <c r="F34" i="3"/>
  <c r="I34" i="3" s="1"/>
  <c r="L33" i="3"/>
  <c r="M33" i="3"/>
  <c r="N33" i="4" s="1"/>
  <c r="D33" i="4"/>
  <c r="F65" i="3"/>
  <c r="I65" i="3" s="1"/>
  <c r="L64" i="3"/>
  <c r="M64" i="3"/>
  <c r="O33" i="4" s="1"/>
  <c r="E33" i="4"/>
  <c r="F96" i="3"/>
  <c r="I96" i="3" s="1"/>
  <c r="L95" i="3"/>
  <c r="M95" i="3"/>
  <c r="P33" i="4" s="1"/>
  <c r="F33" i="4"/>
  <c r="F127" i="3"/>
  <c r="I127" i="3" s="1"/>
  <c r="L126" i="3"/>
  <c r="M126" i="3"/>
  <c r="Q33" i="4" s="1"/>
  <c r="F34" i="4" l="1"/>
  <c r="F128" i="3"/>
  <c r="I128" i="3" s="1"/>
  <c r="L127" i="3"/>
  <c r="M127" i="3"/>
  <c r="Q34" i="4" s="1"/>
  <c r="E34" i="4"/>
  <c r="F97" i="3"/>
  <c r="I97" i="3" s="1"/>
  <c r="L96" i="3"/>
  <c r="M96" i="3"/>
  <c r="P34" i="4" s="1"/>
  <c r="D34" i="4"/>
  <c r="F66" i="3"/>
  <c r="I66" i="3" s="1"/>
  <c r="L65" i="3"/>
  <c r="M65" i="3"/>
  <c r="O34" i="4" s="1"/>
  <c r="C34" i="4"/>
  <c r="F35" i="3"/>
  <c r="I35" i="3" s="1"/>
  <c r="L34" i="3"/>
  <c r="M34" i="3"/>
  <c r="N34" i="4" s="1"/>
  <c r="I32" i="4"/>
  <c r="F219" i="3"/>
  <c r="I219" i="3" s="1"/>
  <c r="L218" i="3"/>
  <c r="M218" i="3"/>
  <c r="T32" i="4" s="1"/>
  <c r="L32" i="4"/>
  <c r="F312" i="3"/>
  <c r="I312" i="3" s="1"/>
  <c r="L311" i="3"/>
  <c r="M311" i="3"/>
  <c r="W32" i="4" s="1"/>
  <c r="W30" i="5"/>
  <c r="X30" i="5" s="1"/>
  <c r="K31" i="4"/>
  <c r="F280" i="3"/>
  <c r="I280" i="3" s="1"/>
  <c r="L279" i="3"/>
  <c r="V31" i="5" s="1"/>
  <c r="M279" i="3"/>
  <c r="V31" i="4" s="1"/>
  <c r="J32" i="4"/>
  <c r="F250" i="3"/>
  <c r="I250" i="3" s="1"/>
  <c r="L249" i="3"/>
  <c r="M249" i="3"/>
  <c r="U32" i="4" s="1"/>
  <c r="H32" i="4"/>
  <c r="F188" i="3"/>
  <c r="I188" i="3" s="1"/>
  <c r="L187" i="3"/>
  <c r="M187" i="3"/>
  <c r="S32" i="4" s="1"/>
  <c r="G32" i="4"/>
  <c r="F157" i="3"/>
  <c r="I157" i="3" s="1"/>
  <c r="L156" i="3"/>
  <c r="M156" i="3"/>
  <c r="R32" i="4" s="1"/>
  <c r="G33" i="4" l="1"/>
  <c r="F158" i="3"/>
  <c r="I158" i="3" s="1"/>
  <c r="L157" i="3"/>
  <c r="M157" i="3"/>
  <c r="R33" i="4" s="1"/>
  <c r="W31" i="5"/>
  <c r="X31" i="5"/>
  <c r="H33" i="4"/>
  <c r="F189" i="3"/>
  <c r="I189" i="3" s="1"/>
  <c r="L188" i="3"/>
  <c r="M188" i="3"/>
  <c r="S33" i="4" s="1"/>
  <c r="J33" i="4"/>
  <c r="F251" i="3"/>
  <c r="I251" i="3" s="1"/>
  <c r="L250" i="3"/>
  <c r="M250" i="3"/>
  <c r="U33" i="4" s="1"/>
  <c r="K32" i="4"/>
  <c r="F281" i="3"/>
  <c r="I281" i="3" s="1"/>
  <c r="L280" i="3"/>
  <c r="V32" i="5" s="1"/>
  <c r="M280" i="3"/>
  <c r="V32" i="4" s="1"/>
  <c r="L33" i="4"/>
  <c r="F313" i="3"/>
  <c r="I313" i="3" s="1"/>
  <c r="L312" i="3"/>
  <c r="M312" i="3"/>
  <c r="W33" i="4" s="1"/>
  <c r="I33" i="4"/>
  <c r="F220" i="3"/>
  <c r="I220" i="3" s="1"/>
  <c r="L219" i="3"/>
  <c r="M219" i="3"/>
  <c r="T33" i="4" s="1"/>
  <c r="C42" i="5"/>
  <c r="E42" i="5" s="1"/>
  <c r="C35" i="4"/>
  <c r="L35" i="3"/>
  <c r="M35" i="3"/>
  <c r="N35" i="4" s="1"/>
  <c r="C43" i="5"/>
  <c r="E43" i="5" s="1"/>
  <c r="D35" i="4"/>
  <c r="L66" i="3"/>
  <c r="M66" i="3"/>
  <c r="O35" i="4" s="1"/>
  <c r="C44" i="5"/>
  <c r="E44" i="5" s="1"/>
  <c r="E35" i="4"/>
  <c r="L97" i="3"/>
  <c r="M97" i="3"/>
  <c r="P35" i="4" s="1"/>
  <c r="C45" i="5"/>
  <c r="E45" i="5" s="1"/>
  <c r="F35" i="4"/>
  <c r="L128" i="3"/>
  <c r="M128" i="3"/>
  <c r="Q35" i="4" s="1"/>
  <c r="I34" i="4" l="1"/>
  <c r="F221" i="3"/>
  <c r="I221" i="3" s="1"/>
  <c r="L220" i="3"/>
  <c r="M220" i="3"/>
  <c r="T34" i="4" s="1"/>
  <c r="L34" i="4"/>
  <c r="F314" i="3"/>
  <c r="I314" i="3" s="1"/>
  <c r="L313" i="3"/>
  <c r="M313" i="3"/>
  <c r="W34" i="4" s="1"/>
  <c r="W32" i="5"/>
  <c r="X32" i="5"/>
  <c r="K33" i="4"/>
  <c r="F282" i="3"/>
  <c r="I282" i="3" s="1"/>
  <c r="L281" i="3"/>
  <c r="M281" i="3"/>
  <c r="V33" i="4" s="1"/>
  <c r="J34" i="4"/>
  <c r="F252" i="3"/>
  <c r="I252" i="3" s="1"/>
  <c r="L251" i="3"/>
  <c r="M251" i="3"/>
  <c r="U34" i="4" s="1"/>
  <c r="H34" i="4"/>
  <c r="F190" i="3"/>
  <c r="I190" i="3" s="1"/>
  <c r="L189" i="3"/>
  <c r="M189" i="3"/>
  <c r="S34" i="4" s="1"/>
  <c r="V33" i="5"/>
  <c r="G34" i="4"/>
  <c r="F159" i="3"/>
  <c r="I159" i="3" s="1"/>
  <c r="L158" i="3"/>
  <c r="M158" i="3"/>
  <c r="R34" i="4" s="1"/>
  <c r="C46" i="5" l="1"/>
  <c r="E46" i="5" s="1"/>
  <c r="G35" i="4"/>
  <c r="L159" i="3"/>
  <c r="M159" i="3"/>
  <c r="R35" i="4" s="1"/>
  <c r="W33" i="5"/>
  <c r="X33" i="5"/>
  <c r="C47" i="5"/>
  <c r="E47" i="5" s="1"/>
  <c r="H35" i="4"/>
  <c r="L190" i="3"/>
  <c r="M190" i="3"/>
  <c r="S35" i="4" s="1"/>
  <c r="C49" i="5"/>
  <c r="E49" i="5" s="1"/>
  <c r="J35" i="4"/>
  <c r="L252" i="3"/>
  <c r="M252" i="3"/>
  <c r="U35" i="4" s="1"/>
  <c r="K34" i="4"/>
  <c r="F283" i="3"/>
  <c r="I283" i="3" s="1"/>
  <c r="L282" i="3"/>
  <c r="V34" i="5" s="1"/>
  <c r="M282" i="3"/>
  <c r="V34" i="4" s="1"/>
  <c r="C51" i="5"/>
  <c r="E51" i="5" s="1"/>
  <c r="L35" i="4"/>
  <c r="L314" i="3"/>
  <c r="M314" i="3"/>
  <c r="W35" i="4" s="1"/>
  <c r="C48" i="5"/>
  <c r="E48" i="5" s="1"/>
  <c r="I35" i="4"/>
  <c r="L221" i="3"/>
  <c r="M221" i="3"/>
  <c r="T35" i="4" s="1"/>
  <c r="W34" i="5" l="1"/>
  <c r="X34" i="5" s="1"/>
  <c r="C50" i="5"/>
  <c r="E50" i="5" s="1"/>
  <c r="E52" i="5" s="1"/>
  <c r="K35" i="4"/>
  <c r="L283" i="3"/>
  <c r="M283" i="3"/>
  <c r="V35" i="4" s="1"/>
  <c r="V35" i="5"/>
  <c r="W35" i="5" l="1"/>
  <c r="W37" i="5" s="1"/>
  <c r="X37" i="5" s="1"/>
  <c r="X35" i="5" l="1"/>
  <c r="G44" i="2"/>
  <c r="G43" i="2"/>
  <c r="AE35" i="2"/>
  <c r="AH35" i="2"/>
  <c r="AE34" i="2"/>
  <c r="AH34" i="2"/>
  <c r="AE33" i="2"/>
  <c r="AH33" i="2"/>
  <c r="AE32" i="2"/>
  <c r="AH32" i="2"/>
  <c r="AE31" i="2"/>
  <c r="AH31" i="2"/>
  <c r="AE30" i="2"/>
  <c r="AH30" i="2"/>
  <c r="AE29" i="2"/>
  <c r="AH29" i="2"/>
  <c r="AE28" i="2"/>
  <c r="AH28" i="2"/>
  <c r="AE27" i="2"/>
  <c r="AH27" i="2"/>
  <c r="AE26" i="2"/>
  <c r="AH26" i="2"/>
  <c r="AE25" i="2"/>
  <c r="AH25" i="2"/>
  <c r="AE24" i="2"/>
  <c r="AH24" i="2"/>
  <c r="AE23" i="2"/>
  <c r="AH23" i="2"/>
  <c r="AE22" i="2"/>
  <c r="AH22" i="2"/>
  <c r="AE21" i="2"/>
  <c r="AH21" i="2"/>
  <c r="AE20" i="2"/>
  <c r="AH20" i="2"/>
  <c r="AE19" i="2"/>
  <c r="AE18" i="2"/>
  <c r="AH18" i="2"/>
  <c r="AE17" i="2"/>
  <c r="AH17" i="2"/>
  <c r="AE16" i="2"/>
  <c r="AH16" i="2"/>
  <c r="AE15" i="2"/>
  <c r="AH15" i="2"/>
  <c r="AE14" i="2"/>
  <c r="AH14" i="2"/>
  <c r="AE13" i="2"/>
  <c r="AH13" i="2"/>
  <c r="AE12" i="2"/>
  <c r="AH12" i="2"/>
  <c r="AE11" i="2"/>
  <c r="AH11" i="2"/>
  <c r="AE10" i="2"/>
  <c r="AH10" i="2"/>
  <c r="AE9" i="2"/>
  <c r="AH9" i="2"/>
  <c r="AE8" i="2"/>
  <c r="AH8" i="2"/>
  <c r="AE7" i="2"/>
  <c r="AH7" i="2"/>
  <c r="AE6" i="2"/>
  <c r="AH6" i="2"/>
  <c r="AE5" i="2"/>
  <c r="AH5" i="2" s="1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E36" i="2" l="1"/>
  <c r="G40" i="2"/>
  <c r="AI5" i="2"/>
  <c r="AH19" i="2"/>
  <c r="AH36" i="2" l="1"/>
  <c r="AI19" i="2"/>
  <c r="G41" i="2"/>
  <c r="C89" i="1" s="1"/>
  <c r="C90" i="1" s="1"/>
  <c r="G39" i="2" l="1"/>
  <c r="AI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Planner</author>
  </authors>
  <commentList>
    <comment ref="D4" authorId="0" shapeId="0" xr:uid="{00000000-0006-0000-0100-000001000000}">
      <text>
        <r>
          <rPr>
            <sz val="10"/>
            <rFont val="Arial"/>
            <family val="2"/>
          </rPr>
          <t>Decision variables x[c,t]: crude c charged to CDU on day t (kbbl/d). Optimizer writes rows with Status = Plan only.</t>
        </r>
      </text>
    </comment>
    <comment ref="H4" authorId="0" shapeId="0" xr:uid="{00000000-0006-0000-0100-000002000000}">
      <text>
        <r>
          <rPr>
            <sz val="10"/>
            <rFont val="Arial"/>
            <family val="2"/>
          </rPr>
          <t>Decision variable r[t]: SR naphtha routed to Reformer. Remainder is sold as Naphtha.</t>
        </r>
      </text>
    </comment>
    <comment ref="I4" authorId="0" shapeId="0" xr:uid="{00000000-0006-0000-0100-000003000000}">
      <text>
        <r>
          <rPr>
            <sz val="10"/>
            <rFont val="Arial"/>
            <family val="2"/>
          </rPr>
          <t>Decision variable f[t]: Atm residue routed to RFCC. Remainder goes to Fuel Oil.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Planner</author>
  </authors>
  <commentList>
    <comment ref="X37" authorId="0" shapeId="0" xr:uid="{00000000-0006-0000-0400-000001000000}">
      <text>
        <r>
          <rPr>
            <sz val="10"/>
            <rFont val="Arial"/>
            <family val="2"/>
          </rPr>
          <t>Total violations across all days + C14. Must be 0 for a feasible plan.</t>
        </r>
      </text>
    </comment>
  </commentList>
</comments>
</file>

<file path=xl/sharedStrings.xml><?xml version="1.0" encoding="utf-8"?>
<sst xmlns="http://schemas.openxmlformats.org/spreadsheetml/2006/main" count="1555" uniqueCount="423">
  <si>
    <t>Refinery Production Planning – Optimization Notes (Objective Function &amp; Constraints)</t>
  </si>
  <si>
    <t>Multi-period LP: 31 days (Oct 2026), 4 crudes, CDU → Reformer / RFCC / DHT, 10 tanks. Days 1–11 actual (locked), days 12–31 to optimise.</t>
  </si>
  <si>
    <t>1. PURPOSE &amp; WORKFLOW</t>
  </si>
  <si>
    <t>This workbook is a test-bed for a Python optimizer. Excel holds the data, the current (manual) plan and all checks; Python reads the data, solves for the best plan, and writes the decision variables back into Daily_Plan. Excel then recalculates margins, tank balances and constraint checks so the optimizer result can be verified independently of the solver.</t>
  </si>
  <si>
    <t>Step 1</t>
  </si>
  <si>
    <t>Read parameters: Crude_Data, Unit_Data, Product_Data, Tank_Master, Crude_Receipts, Product_Liftings.</t>
  </si>
  <si>
    <t>Step 2</t>
  </si>
  <si>
    <t>Read Daily_Plan rows 5–35. Rows with Status = 'Actual' are fixed history; rows with Status = 'Plan' are free.</t>
  </si>
  <si>
    <t>Step 3</t>
  </si>
  <si>
    <t>Build and solve the LP below (scipy.optimize.linprog / HiGHS, PuLP or Pyomo all work).</t>
  </si>
  <si>
    <t>Step 4</t>
  </si>
  <si>
    <t>Write optimal x, r, f into Daily_Plan!D:I for Plan rows only (green cells).</t>
  </si>
  <si>
    <t>Step 5</t>
  </si>
  <si>
    <t>Open in Excel → check Constraint_Check!X37 = 0 and compare Daily_Plan KPI 'Plan-days margin' against the benchmark in section 9.</t>
  </si>
  <si>
    <t>2. COLOUR LEGEND</t>
  </si>
  <si>
    <t>Blue text, yellow fill</t>
  </si>
  <si>
    <t>Parameter / input – edit to run scenarios</t>
  </si>
  <si>
    <t>Blue text, green fill</t>
  </si>
  <si>
    <t>Decision variable – optimizer writes here (Daily_Plan Plan rows)</t>
  </si>
  <si>
    <t>Blue text, grey fill</t>
  </si>
  <si>
    <t>Actual (locked) day – do not optimise</t>
  </si>
  <si>
    <t>Black text</t>
  </si>
  <si>
    <t>Formula / calculation</t>
  </si>
  <si>
    <t>Green text</t>
  </si>
  <si>
    <t>Link to another worksheet</t>
  </si>
  <si>
    <t>3. SETS &amp; INDICES</t>
  </si>
  <si>
    <t>Symbol</t>
  </si>
  <si>
    <t>Meaning</t>
  </si>
  <si>
    <t>Members / Excel source</t>
  </si>
  <si>
    <t>t ∈ T</t>
  </si>
  <si>
    <t>Day of horizon</t>
  </si>
  <si>
    <t>1…31 (Daily_Plan col A). T_plan = days with Status 'Plan' (12…31)</t>
  </si>
  <si>
    <t>c ∈ C</t>
  </si>
  <si>
    <t>Crude grade</t>
  </si>
  <si>
    <t>Arab Light, Murban, Tapis, Kimanis (Crude_Data C3:F3)</t>
  </si>
  <si>
    <t>p ∈ P</t>
  </si>
  <si>
    <t>Finished product</t>
  </si>
  <si>
    <t>LPG, Naphtha, Gasoline 95, Jet A-1, Diesel B10, Fuel Oil (Product_Data C3:H3)</t>
  </si>
  <si>
    <t>k ∈ K</t>
  </si>
  <si>
    <t>Tank</t>
  </si>
  <si>
    <t>4 crude tanks + 6 product tanks (Tank_Master A4:A13)</t>
  </si>
  <si>
    <t>4. DECISION VARIABLES  (per plan day t, units kbbl/d)</t>
  </si>
  <si>
    <t>Variable</t>
  </si>
  <si>
    <t>Excel location</t>
  </si>
  <si>
    <t>Bounds</t>
  </si>
  <si>
    <t>x[c,t]</t>
  </si>
  <si>
    <t>Crude c charged to the CDU</t>
  </si>
  <si>
    <t>Daily_Plan!D:G</t>
  </si>
  <si>
    <t>0 … Xmax_c</t>
  </si>
  <si>
    <t>r[t]</t>
  </si>
  <si>
    <t>SR naphtha routed to the Reformer (rest sold as Naphtha)</t>
  </si>
  <si>
    <t>Daily_Plan!H</t>
  </si>
  <si>
    <t>Rmin … Rmax</t>
  </si>
  <si>
    <t>f[t]</t>
  </si>
  <si>
    <t>Atmospheric residue routed to the RFCC (rest goes to Fuel Oil)</t>
  </si>
  <si>
    <t>Daily_Plan!I</t>
  </si>
  <si>
    <t>Fmin … Fmax</t>
  </si>
  <si>
    <t>I[k,t]</t>
  </si>
  <si>
    <t>Closing inventory of tank k (state variable, can be eliminated by substitution)</t>
  </si>
  <si>
    <t>Tank_Balance!I</t>
  </si>
  <si>
    <t>Min heel … Capacity</t>
  </si>
  <si>
    <t>Total: 6 free variables × 20 plan days = 120 decision variables (+ 200 inventory states if modelled explicitly).</t>
  </si>
  <si>
    <t>5. DERIVED FLOWS (all linear in x, r, f – see Daily_Plan formulas)</t>
  </si>
  <si>
    <t>Quantity</t>
  </si>
  <si>
    <t>Expression</t>
  </si>
  <si>
    <t>Excel column</t>
  </si>
  <si>
    <t>CDU_t</t>
  </si>
  <si>
    <t>Σc x[c,t]</t>
  </si>
  <si>
    <t>Daily_Plan!J</t>
  </si>
  <si>
    <t>Cut_j,t (j = LPG, Naph, Kero, GO, AR)</t>
  </si>
  <si>
    <t>Σc y[c,j] · x[c,t]</t>
  </si>
  <si>
    <t>Daily_Plan!K:O</t>
  </si>
  <si>
    <t>DHT_t</t>
  </si>
  <si>
    <t>GO_t + yLCO · f[t]</t>
  </si>
  <si>
    <t>Daily_Plan!W</t>
  </si>
  <si>
    <t>LPG_t</t>
  </si>
  <si>
    <t>LPG_SR,t + yRef,LPG · r[t] + yFCC,LPG · f[t]</t>
  </si>
  <si>
    <t>Daily_Plan!X</t>
  </si>
  <si>
    <t>Naphtha_t</t>
  </si>
  <si>
    <t>Naph_t − r[t]</t>
  </si>
  <si>
    <t>Daily_Plan!Y</t>
  </si>
  <si>
    <t>Gasoline_t</t>
  </si>
  <si>
    <t>yRef,Reformate · r[t] + yFCC,Gasoline · f[t]</t>
  </si>
  <si>
    <t>Daily_Plan!Z</t>
  </si>
  <si>
    <t>Jet_t</t>
  </si>
  <si>
    <t>Kero_t</t>
  </si>
  <si>
    <t>Daily_Plan!AA</t>
  </si>
  <si>
    <t>Diesel_t</t>
  </si>
  <si>
    <t>yDHT · DHT_t</t>
  </si>
  <si>
    <t>Daily_Plan!AB</t>
  </si>
  <si>
    <t>FuelOil_t</t>
  </si>
  <si>
    <t>AR_t − f[t] + ySlurry · f[t]</t>
  </si>
  <si>
    <t>Daily_Plan!AC</t>
  </si>
  <si>
    <t>6. OBJECTIVE FUNCTION – maximise gross margin over plan days ($k)</t>
  </si>
  <si>
    <t>max  Z = Σ(t∈T_plan) [ Σp Price_p · Prod[p,t]  −  Σc CrudePrice_c · x[c,t]  −  ( OpexCDU · CDU_t + OpexRef · r[t] + OpexRFCC · f[t] + OpexDHT · DHT_t ) ]</t>
  </si>
  <si>
    <t>Term</t>
  </si>
  <si>
    <t>Excel source</t>
  </si>
  <si>
    <t>Revenue</t>
  </si>
  <si>
    <t>Product make valued at netback price (production-based valuation)</t>
  </si>
  <si>
    <t>Daily_Plan!AE  ← Product_Data row 4</t>
  </si>
  <si>
    <t>Crude cost</t>
  </si>
  <si>
    <t>Delivered crude price × crude charged</t>
  </si>
  <si>
    <t>Daily_Plan!AF  ← Crude_Data row 4</t>
  </si>
  <si>
    <t>Opex</t>
  </si>
  <si>
    <t>Variable operating cost per bbl of unit feed</t>
  </si>
  <si>
    <t>Daily_Plan!AG  ← Unit_Data D7, D10, D16, D24</t>
  </si>
  <si>
    <t>Z</t>
  </si>
  <si>
    <t>Plan-days gross margin (actual days are constant and excluded)</t>
  </si>
  <si>
    <t>Daily_Plan KPI 'Plan-days margin'</t>
  </si>
  <si>
    <t>Tip: because every product is linear in (x, r, f), the objective collapses to a constant margin coefficient per variable – e.g. Z = Σt (m_c · x[c,t] + m_r · r[t] + m_f · f[t]). Compute m from the Excel parameters; it shows instantly which crude/unit is most valuable and why the solver pushes against certain limits.</t>
  </si>
  <si>
    <t>7. CONSTRAINTS  (✓ = checked live in Constraint_Check)</t>
  </si>
  <si>
    <t>ID</t>
  </si>
  <si>
    <t>Constraint</t>
  </si>
  <si>
    <t>Mathematical form (for every plan day t unless noted)</t>
  </si>
  <si>
    <t>Parameter source</t>
  </si>
  <si>
    <t>Type</t>
  </si>
  <si>
    <t>C1</t>
  </si>
  <si>
    <t>CDU capacity / turndown</t>
  </si>
  <si>
    <t>CDUmin ≤ Σc x[c,t] ≤ CDUmax</t>
  </si>
  <si>
    <t>Unit_Data D4:D5</t>
  </si>
  <si>
    <t>Capacity ✓</t>
  </si>
  <si>
    <t>C2</t>
  </si>
  <si>
    <t>Crude rate limits</t>
  </si>
  <si>
    <t>Xmin_c ≤ x[c,t] ≤ Xmax_c</t>
  </si>
  <si>
    <t>Crude_Data row 13–14</t>
  </si>
  <si>
    <t>Bound ✓</t>
  </si>
  <si>
    <t>C3</t>
  </si>
  <si>
    <t>CDU ramp rate</t>
  </si>
  <si>
    <t>−Ramp ≤ CDU_t − CDU_(t−1) ≤ Ramp   (day 12 is linked to actual day 11)</t>
  </si>
  <si>
    <t>Unit_Data D6</t>
  </si>
  <si>
    <t>Operability ✓</t>
  </si>
  <si>
    <t>C4</t>
  </si>
  <si>
    <t>Reformer capacity</t>
  </si>
  <si>
    <t>Rmin ≤ r[t] ≤ Rmax</t>
  </si>
  <si>
    <t>Unit_Data D8:D9</t>
  </si>
  <si>
    <t>C5</t>
  </si>
  <si>
    <t>Naphtha availability</t>
  </si>
  <si>
    <t>r[t] ≤ Σc yNaph,c · x[c,t]   (Naphtha sales ≥ 0)</t>
  </si>
  <si>
    <t>Crude_Data row 6</t>
  </si>
  <si>
    <t>Mass balance ✓</t>
  </si>
  <si>
    <t>C6</t>
  </si>
  <si>
    <t>RFCC capacity</t>
  </si>
  <si>
    <t>Fmin ≤ f[t] ≤ Fmax</t>
  </si>
  <si>
    <t>Unit_Data D14:D15</t>
  </si>
  <si>
    <t>C7</t>
  </si>
  <si>
    <t>Residue availability</t>
  </si>
  <si>
    <t>f[t] ≤ Σc yAR,c · x[c,t]   (Fuel Oil ≥ 0)</t>
  </si>
  <si>
    <t>Crude_Data row 9</t>
  </si>
  <si>
    <t>C8</t>
  </si>
  <si>
    <t>DHT capacity</t>
  </si>
  <si>
    <t>DHTmin ≤ Σc yGO,c · x[c,t] + yLCO · f[t] ≤ DHTmax</t>
  </si>
  <si>
    <t>Unit_Data D22:D23</t>
  </si>
  <si>
    <t>C9</t>
  </si>
  <si>
    <t>Gasoline RON spec</t>
  </si>
  <si>
    <t>(RONref − RONspec) · yRef · r[t] + (RONfcc − RONspec) · yFCC · f[t] ≥ 0   (linearised blend)</t>
  </si>
  <si>
    <t>Unit_Data D26:D28</t>
  </si>
  <si>
    <t>Quality ✓</t>
  </si>
  <si>
    <t>C10</t>
  </si>
  <si>
    <t>Residue sulfur spec</t>
  </si>
  <si>
    <t>Σc yAR,c · (S_c − Smax) · x[c,t] ≤ 0   (linearised blend)</t>
  </si>
  <si>
    <t>Crude_Data row 12, Unit_Data D29</t>
  </si>
  <si>
    <t>C11</t>
  </si>
  <si>
    <t>Crude tank balance</t>
  </si>
  <si>
    <t>I[c,t] = I[c,t−1] + Receipt[c,t] − x[c,t]</t>
  </si>
  <si>
    <t>Crude_Receipts, Tank_Master F</t>
  </si>
  <si>
    <t>Material balance</t>
  </si>
  <si>
    <t>C12</t>
  </si>
  <si>
    <t>Product tank balance</t>
  </si>
  <si>
    <t>I[p,t] = I[p,t−1] + Prod[p,t] − Lift[p,t]</t>
  </si>
  <si>
    <t>Product_Liftings, Tank_Master F</t>
  </si>
  <si>
    <t>C13</t>
  </si>
  <si>
    <t>Tank operating window</t>
  </si>
  <si>
    <t>MinHeel_k ≤ I[k,t] ≤ Capacity_k</t>
  </si>
  <si>
    <t>Tank_Master D:E</t>
  </si>
  <si>
    <t>Inventory ✓</t>
  </si>
  <si>
    <t>C14</t>
  </si>
  <si>
    <t>End-of-month inventory</t>
  </si>
  <si>
    <t>I[k,31] ≥ EndTarget_k</t>
  </si>
  <si>
    <t>Tank_Master G</t>
  </si>
  <si>
    <t>C15</t>
  </si>
  <si>
    <t>Lock actual days</t>
  </si>
  <si>
    <t>x, r, f fixed at recorded values where Status = 'Actual'</t>
  </si>
  <si>
    <t>Daily_Plan!C</t>
  </si>
  <si>
    <t>Rolling horizon</t>
  </si>
  <si>
    <t>C16</t>
  </si>
  <si>
    <t>Non-negativity</t>
  </si>
  <si>
    <t>x, r, f, I ≥ 0</t>
  </si>
  <si>
    <t>-</t>
  </si>
  <si>
    <t>Bound</t>
  </si>
  <si>
    <t>Why C9 and C10 are linear: a ratio spec such as (Σ q_i·v_i)/(Σ v_i) ≥ spec is multiplied through by the (positive) pool volume, giving Σ (q_i − spec)·v_i ≥ 0. This keeps the whole model an LP – no NLP solver needed.</t>
  </si>
  <si>
    <t>8. KEY ASSUMPTIONS &amp; SIMPLIFICATIONS</t>
  </si>
  <si>
    <t>• Fixed (linear) yields – no cut-point, severity or conversion optimisation. Upgrade path: delta-base vectors or swing cuts.</t>
  </si>
  <si>
    <t>• Volumetric blending for RON and sulfur (sulfur should strictly be mass-weighted; acceptable for a test model).</t>
  </si>
  <si>
    <t>• Products valued on production (netback); liftings and crude receipts are fixed schedules, so tanks absorb the imbalance.</t>
  </si>
  <si>
    <t>• Crude and product tanks are aggregated per grade/product (one tank group each).</t>
  </si>
  <si>
    <t>• Single day time-step; no unit shutdowns, catalyst cycle or maintenance windows modelled.</t>
  </si>
  <si>
    <t>• All prices, yields and capacities are illustrative values for testing only.</t>
  </si>
  <si>
    <t>9. BENCHMARK – use this to validate your Python optimizer</t>
  </si>
  <si>
    <t>Item</t>
  </si>
  <si>
    <t>Value ($k)</t>
  </si>
  <si>
    <t>How obtained</t>
  </si>
  <si>
    <t>Original manual plan – plan days 12–31</t>
  </si>
  <si>
    <t>Daily_Plan values as delivered in this file</t>
  </si>
  <si>
    <t>Reference LP optimum – plan days 12–31</t>
  </si>
  <si>
    <t>scipy.optimize.linprog (HiGHS), solved at file creation on the baseline data</t>
  </si>
  <si>
    <t>Reference uplift (optimum − original)</t>
  </si>
  <si>
    <t>Value of optimisation over 20 plan days</t>
  </si>
  <si>
    <t>Current plan in Daily_Plan – plan days</t>
  </si>
  <si>
    <t>Live – updates when the optimizer writes results</t>
  </si>
  <si>
    <t>Gap: LP optimum − current plan</t>
  </si>
  <si>
    <t>≈ 0 when your optimizer matches the reference</t>
  </si>
  <si>
    <t>A correct optimizer should reach ≈ 18,320 $k with Constraint_Check!X37 = 0. The LP optimum is degenerate (several plans give the same margin), so your crude split may differ from someone else's while the objective value matches. Typical binding constraints: CDU max, Reformer max, RFCC max, residue sulfur (C10), crude tank min-heel and end-of-month targets.</t>
  </si>
  <si>
    <t>Refinery Daily Production Plan – October 2026 (kbbl/d, $k/d)</t>
  </si>
  <si>
    <t>Days 1–11 = ACTUAL (locked). Days 12–31 = PLAN. Green cells = decision variables the Python optimizer writes back; everything else is calculated.</t>
  </si>
  <si>
    <t>DECISION VARIABLES (kbbl/d)</t>
  </si>
  <si>
    <t>CDU – straight-run cuts</t>
  </si>
  <si>
    <t>Reformer</t>
  </si>
  <si>
    <t>RFCC</t>
  </si>
  <si>
    <t>DHT</t>
  </si>
  <si>
    <t>Product make (kbbl/d)</t>
  </si>
  <si>
    <t>Quality</t>
  </si>
  <si>
    <t>Economics ($k/d)</t>
  </si>
  <si>
    <t>Day</t>
  </si>
  <si>
    <t>Date</t>
  </si>
  <si>
    <t>Status</t>
  </si>
  <si>
    <t>Crude: Arab Light</t>
  </si>
  <si>
    <t>Crude: Murban</t>
  </si>
  <si>
    <t>Crude: Tapis</t>
  </si>
  <si>
    <t>Crude: Kimanis</t>
  </si>
  <si>
    <t>Reformer feed</t>
  </si>
  <si>
    <t>RFCC feed</t>
  </si>
  <si>
    <t>CDU total</t>
  </si>
  <si>
    <t>SR LPG</t>
  </si>
  <si>
    <t>SR Naphtha</t>
  </si>
  <si>
    <t>SR Kerosene</t>
  </si>
  <si>
    <t>SR Gasoil</t>
  </si>
  <si>
    <t>Atm Residue</t>
  </si>
  <si>
    <t>Residue S (wt%)</t>
  </si>
  <si>
    <t>Reformate</t>
  </si>
  <si>
    <t>Reformer LPG</t>
  </si>
  <si>
    <t>FCC gasoline</t>
  </si>
  <si>
    <t>FCC LPG</t>
  </si>
  <si>
    <t>LCO</t>
  </si>
  <si>
    <t>Slurry</t>
  </si>
  <si>
    <t>DHT feed</t>
  </si>
  <si>
    <t>LPG</t>
  </si>
  <si>
    <t>Naphtha</t>
  </si>
  <si>
    <t>Gasoline 95</t>
  </si>
  <si>
    <t>Jet A-1</t>
  </si>
  <si>
    <t>Diesel B10</t>
  </si>
  <si>
    <t>Fuel Oil</t>
  </si>
  <si>
    <t>Gasoline RON</t>
  </si>
  <si>
    <t>Product revenue</t>
  </si>
  <si>
    <t>Gross margin</t>
  </si>
  <si>
    <t>Margin $/bbl crude</t>
  </si>
  <si>
    <t>Actual</t>
  </si>
  <si>
    <t>Plan</t>
  </si>
  <si>
    <t>Month</t>
  </si>
  <si>
    <t>Total</t>
  </si>
  <si>
    <t>KPIs</t>
  </si>
  <si>
    <t>Month gross margin ($k)</t>
  </si>
  <si>
    <t>Actual-days margin ($k) – locked</t>
  </si>
  <si>
    <t>Plan-days margin ($k) – OBJECTIVE</t>
  </si>
  <si>
    <t>Total crude run (kbbl)</t>
  </si>
  <si>
    <t>Constraint violations (from Constraint_Check)</t>
  </si>
  <si>
    <t>Plan status</t>
  </si>
  <si>
    <t>Daily Tank Balance (kbbl) – long format, one row per tank per day</t>
  </si>
  <si>
    <t>Closing = Opening + Inflow − Outflow. Crude: inflow = receipts, outflow = CDU charge. Product: inflow = production, outflow = liftings.</t>
  </si>
  <si>
    <t>Tank ID</t>
  </si>
  <si>
    <t>Service</t>
  </si>
  <si>
    <t>Opening</t>
  </si>
  <si>
    <t>Inflow</t>
  </si>
  <si>
    <t>Outflow</t>
  </si>
  <si>
    <t>Closing</t>
  </si>
  <si>
    <t>Min heel</t>
  </si>
  <si>
    <t>Capacity</t>
  </si>
  <si>
    <t>Fill %</t>
  </si>
  <si>
    <t>TK-101</t>
  </si>
  <si>
    <t>Arab Light</t>
  </si>
  <si>
    <t>Crude</t>
  </si>
  <si>
    <t>TK-102</t>
  </si>
  <si>
    <t>Murban</t>
  </si>
  <si>
    <t>TK-103</t>
  </si>
  <si>
    <t>Tapis</t>
  </si>
  <si>
    <t>TK-104</t>
  </si>
  <si>
    <t>Kimanis</t>
  </si>
  <si>
    <t>TK-201</t>
  </si>
  <si>
    <t>Product</t>
  </si>
  <si>
    <t>TK-301</t>
  </si>
  <si>
    <t>TK-401</t>
  </si>
  <si>
    <t>TK-501</t>
  </si>
  <si>
    <t>TK-601</t>
  </si>
  <si>
    <t>TK-701</t>
  </si>
  <si>
    <t>Tank Inventory Overview – closing inventory (kbbl) and fill %</t>
  </si>
  <si>
    <t>Wide view of Tank_Balance for quick visual checks. All values are links.</t>
  </si>
  <si>
    <t>Closing inventory (kbbl)</t>
  </si>
  <si>
    <t>Fill % of working capacity</t>
  </si>
  <si>
    <t>TK-101
Arab Light</t>
  </si>
  <si>
    <t>TK-102
Murban</t>
  </si>
  <si>
    <t>TK-103
Tapis</t>
  </si>
  <si>
    <t>TK-104
Kimanis</t>
  </si>
  <si>
    <t>TK-201
LPG</t>
  </si>
  <si>
    <t>TK-301
Naphtha</t>
  </si>
  <si>
    <t>TK-401
Gasoline 95</t>
  </si>
  <si>
    <t>TK-501
Jet A-1</t>
  </si>
  <si>
    <t>TK-601
Diesel B10</t>
  </si>
  <si>
    <t>TK-701
Fuel Oil</t>
  </si>
  <si>
    <t>Constraint Check – does the current plan satisfy every plant constraint?</t>
  </si>
  <si>
    <t>Re-evaluates automatically when the optimizer writes new decision variables into Daily_Plan. VIOL = constraint breached.</t>
  </si>
  <si>
    <t>CDU rate</t>
  </si>
  <si>
    <t>C1 CDU cap</t>
  </si>
  <si>
    <t>Crude max</t>
  </si>
  <si>
    <t>C2 Crude rate</t>
  </si>
  <si>
    <t>CDU Δ vs prev day</t>
  </si>
  <si>
    <t>C3 Ramp</t>
  </si>
  <si>
    <t>C4 Ref cap</t>
  </si>
  <si>
    <t>C5 Naph avail</t>
  </si>
  <si>
    <t>C6 RFCC cap</t>
  </si>
  <si>
    <t>C7 Resid avail</t>
  </si>
  <si>
    <t>C8 DHT cap</t>
  </si>
  <si>
    <t>C9 RON spec</t>
  </si>
  <si>
    <t>Residue S wt%</t>
  </si>
  <si>
    <t>C10 Sulfur</t>
  </si>
  <si>
    <t>Tank breaches</t>
  </si>
  <si>
    <t>C13 Tank limits</t>
  </si>
  <si>
    <t>Day result</t>
  </si>
  <si>
    <t>n/a</t>
  </si>
  <si>
    <t>Violations</t>
  </si>
  <si>
    <t>C14 – End-of-month inventory targets (closing 31-Oct ≥ target)</t>
  </si>
  <si>
    <t>Closing 31-Oct</t>
  </si>
  <si>
    <t>Target</t>
  </si>
  <si>
    <t>C14 Check</t>
  </si>
  <si>
    <t>C14 violations</t>
  </si>
  <si>
    <t>Crude Slate &amp; Assay Data</t>
  </si>
  <si>
    <t>Illustrative assay/price values for optimizer testing only – replace with site assay (LIMS/crude assay library) and current price deck.</t>
  </si>
  <si>
    <t>Property</t>
  </si>
  <si>
    <t>Unit</t>
  </si>
  <si>
    <t>Crude price (delivered)</t>
  </si>
  <si>
    <t>$/bbl</t>
  </si>
  <si>
    <t>Yield – LPG</t>
  </si>
  <si>
    <t>vol frac</t>
  </si>
  <si>
    <t>Yield – SR Naphtha</t>
  </si>
  <si>
    <t>Yield – Kerosene</t>
  </si>
  <si>
    <t>Yield – SR Gasoil</t>
  </si>
  <si>
    <t>Yield – Atm Residue</t>
  </si>
  <si>
    <t>Yield – Loss / fuel</t>
  </si>
  <si>
    <t>Yield closure check (must = 1.000)</t>
  </si>
  <si>
    <t>Atm Residue sulfur</t>
  </si>
  <si>
    <t>wt%</t>
  </si>
  <si>
    <t>Max CDU feed rate</t>
  </si>
  <si>
    <t>kbbl/d</t>
  </si>
  <si>
    <t>Min CDU feed rate</t>
  </si>
  <si>
    <t>Storage tank</t>
  </si>
  <si>
    <t>Notes</t>
  </si>
  <si>
    <t>• Yields are fixed CDU cut yields (vol) – linear model, no cut-point or severity optimisation.</t>
  </si>
  <si>
    <t>• Max CDU rate per crude reflects handling limits (e.g. waxy Kimanis, sour Arab Light corrosion window).</t>
  </si>
  <si>
    <t>• Residue sulfur is used in the residue-pool sulfur constraint (C10) – volumetric blending approximation.</t>
  </si>
  <si>
    <t>Process Unit Constraints, Yields &amp; Operating Cost</t>
  </si>
  <si>
    <t>Blue = editable parameter. Row numbers are referenced by formulas in Daily_Plan and Constraint_Check – do not insert rows.</t>
  </si>
  <si>
    <t>Parameter</t>
  </si>
  <si>
    <t>Unit of measure</t>
  </si>
  <si>
    <t>Value</t>
  </si>
  <si>
    <t>Comment</t>
  </si>
  <si>
    <t>CDU</t>
  </si>
  <si>
    <t>Max throughput</t>
  </si>
  <si>
    <t>Nameplate crude distillation capacity</t>
  </si>
  <si>
    <t>Min throughput (turndown)</t>
  </si>
  <si>
    <t>Furnace / column hydraulic turndown</t>
  </si>
  <si>
    <t>Max day-to-day rate change</t>
  </si>
  <si>
    <t>Ramp limit for stable operation</t>
  </si>
  <si>
    <t>Variable opex</t>
  </si>
  <si>
    <t>$/bbl feed</t>
  </si>
  <si>
    <t>Fuel, power, chemicals</t>
  </si>
  <si>
    <t>Max feed</t>
  </si>
  <si>
    <t>CCR / semi-regen capacity</t>
  </si>
  <si>
    <t>Min feed</t>
  </si>
  <si>
    <t>Min stable feed</t>
  </si>
  <si>
    <t>Incl. catalyst &amp; utilities</t>
  </si>
  <si>
    <t>Yield – Reformate</t>
  </si>
  <si>
    <t>Yield – H2 / fuel gas (calc)</t>
  </si>
  <si>
    <t>Balance to 1.0 – consumed internally</t>
  </si>
  <si>
    <t>Residue FCC capacity</t>
  </si>
  <si>
    <t>Catalyst, utilities</t>
  </si>
  <si>
    <t>Yield – FCC gasoline</t>
  </si>
  <si>
    <t>Yield – LCO</t>
  </si>
  <si>
    <t>Sent to DHT</t>
  </si>
  <si>
    <t>Yield – Slurry</t>
  </si>
  <si>
    <t>Blended to fuel oil</t>
  </si>
  <si>
    <t>Yield – Coke / dry gas (calc)</t>
  </si>
  <si>
    <t>Balance to 1.0</t>
  </si>
  <si>
    <t>Diesel hydrotreater capacity</t>
  </si>
  <si>
    <t>H2, utilities</t>
  </si>
  <si>
    <t>Yield – Diesel</t>
  </si>
  <si>
    <t>Blending</t>
  </si>
  <si>
    <t>RON – Reformate</t>
  </si>
  <si>
    <t>RON</t>
  </si>
  <si>
    <t>RON – FCC gasoline</t>
  </si>
  <si>
    <t>Gasoline pool RON min spec</t>
  </si>
  <si>
    <t>Product spec (Gasoline 95)</t>
  </si>
  <si>
    <t>Atm residue pool sulfur max</t>
  </si>
  <si>
    <t>RFCC feed / fuel oil sulfur limit</t>
  </si>
  <si>
    <t>Product Prices &amp; Tankage Mapping</t>
  </si>
  <si>
    <t>Illustrative product netbacks for optimizer testing – replace with current price deck.</t>
  </si>
  <si>
    <t>Product price (netback)</t>
  </si>
  <si>
    <t>Produced from</t>
  </si>
  <si>
    <t>SR LPG + Reformer LPG + RFCC LPG</t>
  </si>
  <si>
    <t>SR Naphtha not sent to Reformer</t>
  </si>
  <si>
    <t>Reformate + FCC gasoline</t>
  </si>
  <si>
    <t>Kerosene (Merox)</t>
  </si>
  <si>
    <t>DHT product (SR gasoil + LCO)</t>
  </si>
  <si>
    <t>Unconverted residue + slurry</t>
  </si>
  <si>
    <t>Tank Master Data</t>
  </si>
  <si>
    <t>Inventories in kbbl. Opening = start of 1-Oct-2026. End target applies to closing inventory on 31-Oct-2026 (constraint C14).</t>
  </si>
  <si>
    <t>Working capacity (kbbl)</t>
  </si>
  <si>
    <t>Min heel (kbbl)</t>
  </si>
  <si>
    <t>Opening inv. 1-Oct (kbbl)</t>
  </si>
  <si>
    <t>End-of-month min target (kbbl)</t>
  </si>
  <si>
    <t>Tank group (aggregated)</t>
  </si>
  <si>
    <t>Product rundown + finished tank</t>
  </si>
  <si>
    <t>Crude Receipt Schedule (kbbl)</t>
  </si>
  <si>
    <t>Fixed cargo arrivals into crude tanks (parameter, not a decision variable).</t>
  </si>
  <si>
    <t>Product Lifting Schedule (kbbl)</t>
  </si>
  <si>
    <t>Daily pipeline/truck liftings plus vessel cargoes (parameter, not a decision variable).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</si>
</sst>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&quot;($&quot;#,##0\);\-"/>
    <numFmt numFmtId="165" formatCode="dd\-mmm\-yy"/>
    <numFmt numFmtId="166" formatCode="#,##0.0;\(#,##0.0\);\-"/>
    <numFmt numFmtId="167" formatCode="#,##0.00;\(#,##0.00\);\-"/>
    <numFmt numFmtId="168" formatCode="0.0%;\(0.0%\);\-"/>
    <numFmt numFmtId="169" formatCode="0.000;\(0.000\);\-"/>
  </numFmts>
  <fonts count="13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b/>
      <sz val="11"/>
      <color rgb="FF1F4E78"/>
      <name val="Consolas"/>
      <charset val="1"/>
    </font>
    <font>
      <sz val="10"/>
      <name val="Consolas"/>
      <charset val="1"/>
    </font>
    <font>
      <b/>
      <sz val="10"/>
      <color rgb="FF000000"/>
      <name val="Arial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2E75B6"/>
        <bgColor rgb="FF4A7EBB"/>
      </patternFill>
    </fill>
    <fill>
      <patternFill patternType="solid">
        <fgColor rgb="FFF2F2F2"/>
        <b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7" borderId="0" xfId="0" applyFont="1" applyFill="1" applyAlignment="1">
      <alignment horizontal="center"/>
    </xf>
    <xf numFmtId="0" fontId="4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5" fillId="3" borderId="1" xfId="0" applyFont="1" applyFill="1" applyBorder="1"/>
    <xf numFmtId="0" fontId="4" fillId="0" borderId="1" xfId="0" applyFont="1" applyBorder="1"/>
    <xf numFmtId="0" fontId="5" fillId="4" borderId="1" xfId="0" applyFont="1" applyFill="1" applyBorder="1"/>
    <xf numFmtId="0" fontId="5" fillId="5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8" fillId="6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8" fillId="0" borderId="1" xfId="0" applyFont="1" applyBorder="1"/>
    <xf numFmtId="164" fontId="5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165" fontId="6" fillId="0" borderId="1" xfId="0" applyNumberFormat="1" applyFont="1" applyBorder="1"/>
    <xf numFmtId="0" fontId="11" fillId="0" borderId="1" xfId="0" applyFont="1" applyBorder="1"/>
    <xf numFmtId="166" fontId="5" fillId="5" borderId="1" xfId="0" applyNumberFormat="1" applyFont="1" applyFill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164" fontId="6" fillId="0" borderId="1" xfId="0" applyNumberFormat="1" applyFont="1" applyBorder="1"/>
    <xf numFmtId="166" fontId="5" fillId="4" borderId="1" xfId="0" applyNumberFormat="1" applyFont="1" applyFill="1" applyBorder="1"/>
    <xf numFmtId="0" fontId="11" fillId="8" borderId="1" xfId="0" applyFont="1" applyFill="1" applyBorder="1"/>
    <xf numFmtId="0" fontId="6" fillId="8" borderId="1" xfId="0" applyFont="1" applyFill="1" applyBorder="1"/>
    <xf numFmtId="166" fontId="11" fillId="8" borderId="1" xfId="0" applyNumberFormat="1" applyFont="1" applyFill="1" applyBorder="1"/>
    <xf numFmtId="167" fontId="11" fillId="8" borderId="1" xfId="0" applyNumberFormat="1" applyFont="1" applyFill="1" applyBorder="1"/>
    <xf numFmtId="164" fontId="11" fillId="8" borderId="1" xfId="0" applyNumberFormat="1" applyFont="1" applyFill="1" applyBorder="1"/>
    <xf numFmtId="0" fontId="8" fillId="0" borderId="0" xfId="0" applyFont="1"/>
    <xf numFmtId="164" fontId="11" fillId="6" borderId="1" xfId="0" applyNumberFormat="1" applyFont="1" applyFill="1" applyBorder="1"/>
    <xf numFmtId="166" fontId="11" fillId="6" borderId="1" xfId="0" applyNumberFormat="1" applyFont="1" applyFill="1" applyBorder="1"/>
    <xf numFmtId="1" fontId="11" fillId="6" borderId="1" xfId="0" applyNumberFormat="1" applyFont="1" applyFill="1" applyBorder="1"/>
    <xf numFmtId="0" fontId="11" fillId="6" borderId="1" xfId="0" applyFont="1" applyFill="1" applyBorder="1"/>
    <xf numFmtId="165" fontId="7" fillId="0" borderId="1" xfId="0" applyNumberFormat="1" applyFont="1" applyBorder="1"/>
    <xf numFmtId="166" fontId="7" fillId="0" borderId="1" xfId="0" applyNumberFormat="1" applyFont="1" applyBorder="1"/>
    <xf numFmtId="166" fontId="11" fillId="0" borderId="1" xfId="0" applyNumberFormat="1" applyFont="1" applyBorder="1"/>
    <xf numFmtId="168" fontId="6" fillId="0" borderId="1" xfId="0" applyNumberFormat="1" applyFont="1" applyBorder="1"/>
    <xf numFmtId="168" fontId="7" fillId="0" borderId="1" xfId="0" applyNumberFormat="1" applyFont="1" applyBorder="1"/>
    <xf numFmtId="1" fontId="6" fillId="0" borderId="1" xfId="0" applyNumberFormat="1" applyFont="1" applyBorder="1"/>
    <xf numFmtId="167" fontId="7" fillId="0" borderId="1" xfId="0" applyNumberFormat="1" applyFont="1" applyBorder="1"/>
    <xf numFmtId="1" fontId="11" fillId="8" borderId="1" xfId="0" applyNumberFormat="1" applyFont="1" applyFill="1" applyBorder="1"/>
    <xf numFmtId="0" fontId="11" fillId="0" borderId="0" xfId="0" applyFont="1"/>
    <xf numFmtId="167" fontId="5" fillId="3" borderId="1" xfId="0" applyNumberFormat="1" applyFont="1" applyFill="1" applyBorder="1"/>
    <xf numFmtId="169" fontId="5" fillId="3" borderId="1" xfId="0" applyNumberFormat="1" applyFont="1" applyFill="1" applyBorder="1"/>
    <xf numFmtId="169" fontId="6" fillId="8" borderId="1" xfId="0" applyNumberFormat="1" applyFont="1" applyFill="1" applyBorder="1"/>
    <xf numFmtId="166" fontId="5" fillId="3" borderId="1" xfId="0" applyNumberFormat="1" applyFont="1" applyFill="1" applyBorder="1"/>
    <xf numFmtId="0" fontId="4" fillId="0" borderId="0" xfId="0" applyFont="1"/>
    <xf numFmtId="0" fontId="3" fillId="2" borderId="0" xfId="0" applyFont="1" applyFill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6" fillId="0" borderId="2" xfId="0" applyFont="1" applyBorder="1"/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color rgb="FF0061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375623"/>
        <name val="Arial"/>
        <charset val="1"/>
      </font>
    </dxf>
    <dxf>
      <font>
        <b/>
        <color rgb="FF7F7F7F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BE4B48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EDEDED"/>
      <rgbColor rgb="FFD9E1F2"/>
      <rgbColor rgb="FFFF99CC"/>
      <rgbColor rgb="FFCC99FF"/>
      <rgbColor rgb="FFFFC7CE"/>
      <rgbColor rgb="FF2E75B6"/>
      <rgbColor rgb="FF46AAC4"/>
      <rgbColor rgb="FF98B855"/>
      <rgbColor rgb="FFFFCC00"/>
      <rgbColor rgb="FFF59240"/>
      <rgbColor rgb="FFFF6600"/>
      <rgbColor rgb="FF7D5FA0"/>
      <rgbColor rgb="FF878787"/>
      <rgbColor rgb="FF003366"/>
      <rgbColor rgb="FF4A7EBB"/>
      <rgbColor rgb="FF006100"/>
      <rgbColor rgb="FF333300"/>
      <rgbColor rgb="FF993300"/>
      <rgbColor rgb="FF595959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MY" sz="1800" b="1" u="none" strike="noStrike">
                <a:solidFill>
                  <a:srgbClr val="000000"/>
                </a:solidFill>
                <a:uFillTx/>
                <a:latin typeface="Calibri"/>
              </a:rPr>
              <a:t>Crude tanks – fill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Tank_Summary!$N$4</c:f>
              <c:strCache>
                <c:ptCount val="1"/>
                <c:pt idx="0">
                  <c:v>TK-101
Arab Light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Tank_Summary!$A$5:$A$35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Tank_Summary!$N$5:$N$35</c:f>
              <c:numCache>
                <c:formatCode>0.0%;\(0.0%\);\-</c:formatCode>
                <c:ptCount val="31"/>
                <c:pt idx="0">
                  <c:v>0.44</c:v>
                </c:pt>
                <c:pt idx="1">
                  <c:v>0.41333333333333333</c:v>
                </c:pt>
                <c:pt idx="2">
                  <c:v>0.38600000000000001</c:v>
                </c:pt>
                <c:pt idx="3">
                  <c:v>0.36</c:v>
                </c:pt>
                <c:pt idx="4">
                  <c:v>0.33666666666666667</c:v>
                </c:pt>
                <c:pt idx="5">
                  <c:v>0.312</c:v>
                </c:pt>
                <c:pt idx="6">
                  <c:v>0.28599999999999998</c:v>
                </c:pt>
                <c:pt idx="7">
                  <c:v>0.65933333333333333</c:v>
                </c:pt>
                <c:pt idx="8">
                  <c:v>0.63266666666666671</c:v>
                </c:pt>
                <c:pt idx="9">
                  <c:v>0.60599999999999998</c:v>
                </c:pt>
                <c:pt idx="10">
                  <c:v>0.57933333333333337</c:v>
                </c:pt>
                <c:pt idx="11">
                  <c:v>0.55266666666666664</c:v>
                </c:pt>
                <c:pt idx="12">
                  <c:v>0.52600000000000002</c:v>
                </c:pt>
                <c:pt idx="13">
                  <c:v>0.49933333333333335</c:v>
                </c:pt>
                <c:pt idx="14">
                  <c:v>0.47266666666666668</c:v>
                </c:pt>
                <c:pt idx="15">
                  <c:v>0.44600000000000001</c:v>
                </c:pt>
                <c:pt idx="16">
                  <c:v>0.41933333333333334</c:v>
                </c:pt>
                <c:pt idx="17">
                  <c:v>0.39266666666666666</c:v>
                </c:pt>
                <c:pt idx="18">
                  <c:v>0.36599999999999999</c:v>
                </c:pt>
                <c:pt idx="19">
                  <c:v>0.33933333333333332</c:v>
                </c:pt>
                <c:pt idx="20">
                  <c:v>0.31266666666666665</c:v>
                </c:pt>
                <c:pt idx="21">
                  <c:v>0.61933333333333329</c:v>
                </c:pt>
                <c:pt idx="22">
                  <c:v>0.59266666666666667</c:v>
                </c:pt>
                <c:pt idx="23">
                  <c:v>0.56599999999999995</c:v>
                </c:pt>
                <c:pt idx="24">
                  <c:v>0.53933333333333333</c:v>
                </c:pt>
                <c:pt idx="25">
                  <c:v>0.51266666666666671</c:v>
                </c:pt>
                <c:pt idx="26">
                  <c:v>0.48599999999999999</c:v>
                </c:pt>
                <c:pt idx="27">
                  <c:v>0.45933333333333332</c:v>
                </c:pt>
                <c:pt idx="28">
                  <c:v>0.43266666666666664</c:v>
                </c:pt>
                <c:pt idx="29">
                  <c:v>0.40600000000000003</c:v>
                </c:pt>
                <c:pt idx="30">
                  <c:v>0.37933333333333336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79-42A3-A926-A5E27E2C74D6}"/>
            </c:ext>
          </c:extLst>
        </c:ser>
        <c:ser>
          <c:idx val="1"/>
          <c:order val="1"/>
          <c:tx>
            <c:strRef>
              <c:f>Tank_Summary!$O$4</c:f>
              <c:strCache>
                <c:ptCount val="1"/>
                <c:pt idx="0">
                  <c:v>TK-102
Murban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Tank_Summary!$A$5:$A$35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Tank_Summary!$O$5:$O$35</c:f>
              <c:numCache>
                <c:formatCode>0.0%;\(0.0%\);\-</c:formatCode>
                <c:ptCount val="31"/>
                <c:pt idx="0">
                  <c:v>0.46</c:v>
                </c:pt>
                <c:pt idx="1">
                  <c:v>0.42</c:v>
                </c:pt>
                <c:pt idx="2">
                  <c:v>0.38200000000000001</c:v>
                </c:pt>
                <c:pt idx="3">
                  <c:v>0.34599999999999997</c:v>
                </c:pt>
                <c:pt idx="4">
                  <c:v>0.81200000000000006</c:v>
                </c:pt>
                <c:pt idx="5">
                  <c:v>0.77600000000000002</c:v>
                </c:pt>
                <c:pt idx="6">
                  <c:v>0.73799999999999999</c:v>
                </c:pt>
                <c:pt idx="7">
                  <c:v>0.69799999999999995</c:v>
                </c:pt>
                <c:pt idx="8">
                  <c:v>0.65800000000000003</c:v>
                </c:pt>
                <c:pt idx="9">
                  <c:v>0.61799999999999999</c:v>
                </c:pt>
                <c:pt idx="10">
                  <c:v>0.57799999999999996</c:v>
                </c:pt>
                <c:pt idx="11">
                  <c:v>0.53800000000000003</c:v>
                </c:pt>
                <c:pt idx="12">
                  <c:v>0.498</c:v>
                </c:pt>
                <c:pt idx="13">
                  <c:v>0.45800000000000002</c:v>
                </c:pt>
                <c:pt idx="14">
                  <c:v>0.41799999999999998</c:v>
                </c:pt>
                <c:pt idx="15">
                  <c:v>0.378</c:v>
                </c:pt>
                <c:pt idx="16">
                  <c:v>0.33800000000000002</c:v>
                </c:pt>
                <c:pt idx="17">
                  <c:v>0.29799999999999999</c:v>
                </c:pt>
                <c:pt idx="18">
                  <c:v>0.75800000000000001</c:v>
                </c:pt>
                <c:pt idx="19">
                  <c:v>0.71799999999999997</c:v>
                </c:pt>
                <c:pt idx="20">
                  <c:v>0.67800000000000005</c:v>
                </c:pt>
                <c:pt idx="21">
                  <c:v>0.63800000000000001</c:v>
                </c:pt>
                <c:pt idx="22">
                  <c:v>0.59799999999999998</c:v>
                </c:pt>
                <c:pt idx="23">
                  <c:v>0.55800000000000005</c:v>
                </c:pt>
                <c:pt idx="24">
                  <c:v>0.51800000000000002</c:v>
                </c:pt>
                <c:pt idx="25">
                  <c:v>0.47799999999999998</c:v>
                </c:pt>
                <c:pt idx="26">
                  <c:v>0.438</c:v>
                </c:pt>
                <c:pt idx="27">
                  <c:v>0.39800000000000002</c:v>
                </c:pt>
                <c:pt idx="28">
                  <c:v>0.35799999999999998</c:v>
                </c:pt>
                <c:pt idx="29">
                  <c:v>0.318</c:v>
                </c:pt>
                <c:pt idx="30">
                  <c:v>0.27800000000000002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79-42A3-A926-A5E27E2C74D6}"/>
            </c:ext>
          </c:extLst>
        </c:ser>
        <c:ser>
          <c:idx val="2"/>
          <c:order val="2"/>
          <c:tx>
            <c:strRef>
              <c:f>Tank_Summary!$P$4</c:f>
              <c:strCache>
                <c:ptCount val="1"/>
                <c:pt idx="0">
                  <c:v>TK-103
Tapis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Tank_Summary!$A$5:$A$35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Tank_Summary!$P$5:$P$35</c:f>
              <c:numCache>
                <c:formatCode>0.0%;\(0.0%\);\-</c:formatCode>
                <c:ptCount val="31"/>
                <c:pt idx="0">
                  <c:v>0.45555555555555555</c:v>
                </c:pt>
                <c:pt idx="1">
                  <c:v>0.41111111111111109</c:v>
                </c:pt>
                <c:pt idx="2">
                  <c:v>0.36555555555555558</c:v>
                </c:pt>
                <c:pt idx="3">
                  <c:v>0.32222222222222224</c:v>
                </c:pt>
                <c:pt idx="4">
                  <c:v>0.28111111111111109</c:v>
                </c:pt>
                <c:pt idx="5">
                  <c:v>0.68333333333333335</c:v>
                </c:pt>
                <c:pt idx="6">
                  <c:v>0.63888888888888884</c:v>
                </c:pt>
                <c:pt idx="7">
                  <c:v>0.59444444444444444</c:v>
                </c:pt>
                <c:pt idx="8">
                  <c:v>0.54888888888888887</c:v>
                </c:pt>
                <c:pt idx="9">
                  <c:v>0.50444444444444447</c:v>
                </c:pt>
                <c:pt idx="10">
                  <c:v>0.46</c:v>
                </c:pt>
                <c:pt idx="11">
                  <c:v>0.41555555555555557</c:v>
                </c:pt>
                <c:pt idx="12">
                  <c:v>0.37111111111111111</c:v>
                </c:pt>
                <c:pt idx="13">
                  <c:v>0.32666666666666666</c:v>
                </c:pt>
                <c:pt idx="14">
                  <c:v>0.28222222222222221</c:v>
                </c:pt>
                <c:pt idx="15">
                  <c:v>0.68222222222222217</c:v>
                </c:pt>
                <c:pt idx="16">
                  <c:v>0.63777777777777778</c:v>
                </c:pt>
                <c:pt idx="17">
                  <c:v>0.59333333333333338</c:v>
                </c:pt>
                <c:pt idx="18">
                  <c:v>0.54888888888888887</c:v>
                </c:pt>
                <c:pt idx="19">
                  <c:v>0.50444444444444447</c:v>
                </c:pt>
                <c:pt idx="20">
                  <c:v>0.46</c:v>
                </c:pt>
                <c:pt idx="21">
                  <c:v>0.41555555555555557</c:v>
                </c:pt>
                <c:pt idx="22">
                  <c:v>0.37111111111111111</c:v>
                </c:pt>
                <c:pt idx="23">
                  <c:v>0.32666666666666666</c:v>
                </c:pt>
                <c:pt idx="24">
                  <c:v>0.28222222222222221</c:v>
                </c:pt>
                <c:pt idx="25">
                  <c:v>0.68222222222222217</c:v>
                </c:pt>
                <c:pt idx="26">
                  <c:v>0.63777777777777778</c:v>
                </c:pt>
                <c:pt idx="27">
                  <c:v>0.59333333333333338</c:v>
                </c:pt>
                <c:pt idx="28">
                  <c:v>0.54888888888888887</c:v>
                </c:pt>
                <c:pt idx="29">
                  <c:v>0.50444444444444447</c:v>
                </c:pt>
                <c:pt idx="30">
                  <c:v>0.46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D79-42A3-A926-A5E27E2C74D6}"/>
            </c:ext>
          </c:extLst>
        </c:ser>
        <c:ser>
          <c:idx val="3"/>
          <c:order val="3"/>
          <c:tx>
            <c:strRef>
              <c:f>Tank_Summary!$Q$4</c:f>
              <c:strCache>
                <c:ptCount val="1"/>
                <c:pt idx="0">
                  <c:v>TK-104
Kimanis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Tank_Summary!$A$5:$A$35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Tank_Summary!$Q$5:$Q$35</c:f>
              <c:numCache>
                <c:formatCode>0.0%;\(0.0%\);\-</c:formatCode>
                <c:ptCount val="31"/>
                <c:pt idx="0">
                  <c:v>0.4375</c:v>
                </c:pt>
                <c:pt idx="1">
                  <c:v>0.4</c:v>
                </c:pt>
                <c:pt idx="2">
                  <c:v>0.36249999999999999</c:v>
                </c:pt>
                <c:pt idx="3">
                  <c:v>0.32750000000000001</c:v>
                </c:pt>
                <c:pt idx="4">
                  <c:v>0.29499999999999998</c:v>
                </c:pt>
                <c:pt idx="5">
                  <c:v>0.26</c:v>
                </c:pt>
                <c:pt idx="6">
                  <c:v>0.2225</c:v>
                </c:pt>
                <c:pt idx="7">
                  <c:v>0.185</c:v>
                </c:pt>
                <c:pt idx="8">
                  <c:v>0.14874999999999999</c:v>
                </c:pt>
                <c:pt idx="9">
                  <c:v>0.54874999999999996</c:v>
                </c:pt>
                <c:pt idx="10">
                  <c:v>0.51124999999999998</c:v>
                </c:pt>
                <c:pt idx="11">
                  <c:v>0.47375</c:v>
                </c:pt>
                <c:pt idx="12">
                  <c:v>0.43625000000000003</c:v>
                </c:pt>
                <c:pt idx="13">
                  <c:v>0.39874999999999999</c:v>
                </c:pt>
                <c:pt idx="14">
                  <c:v>0.36125000000000002</c:v>
                </c:pt>
                <c:pt idx="15">
                  <c:v>0.32374999999999998</c:v>
                </c:pt>
                <c:pt idx="16">
                  <c:v>0.28625</c:v>
                </c:pt>
                <c:pt idx="17">
                  <c:v>0.24875</c:v>
                </c:pt>
                <c:pt idx="18">
                  <c:v>0.21124999999999999</c:v>
                </c:pt>
                <c:pt idx="19">
                  <c:v>0.17374999999999999</c:v>
                </c:pt>
                <c:pt idx="20">
                  <c:v>0.13625000000000001</c:v>
                </c:pt>
                <c:pt idx="21">
                  <c:v>0.53625</c:v>
                </c:pt>
                <c:pt idx="22">
                  <c:v>0.49875000000000003</c:v>
                </c:pt>
                <c:pt idx="23">
                  <c:v>0.46124999999999999</c:v>
                </c:pt>
                <c:pt idx="24">
                  <c:v>0.42375000000000002</c:v>
                </c:pt>
                <c:pt idx="25">
                  <c:v>0.38624999999999998</c:v>
                </c:pt>
                <c:pt idx="26">
                  <c:v>0.34875</c:v>
                </c:pt>
                <c:pt idx="27">
                  <c:v>0.31125000000000003</c:v>
                </c:pt>
                <c:pt idx="28">
                  <c:v>0.27374999999999999</c:v>
                </c:pt>
                <c:pt idx="29">
                  <c:v>0.23624999999999999</c:v>
                </c:pt>
                <c:pt idx="30">
                  <c:v>0.19875000000000001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D79-42A3-A926-A5E27E2C7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634548"/>
        <c:axId val="23277954"/>
      </c:lineChart>
      <c:catAx>
        <c:axId val="596345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MY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277954"/>
        <c:crosses val="autoZero"/>
        <c:auto val="1"/>
        <c:lblAlgn val="ctr"/>
        <c:lblOffset val="100"/>
        <c:noMultiLvlLbl val="0"/>
      </c:catAx>
      <c:valAx>
        <c:axId val="23277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MY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Fill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96345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MY" sz="1800" b="1" u="none" strike="noStrike">
                <a:solidFill>
                  <a:srgbClr val="000000"/>
                </a:solidFill>
                <a:uFillTx/>
                <a:latin typeface="Calibri"/>
              </a:rPr>
              <a:t>Product tanks – fill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Tank_Summary!$R$4</c:f>
              <c:strCache>
                <c:ptCount val="1"/>
                <c:pt idx="0">
                  <c:v>TK-201
LPG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Tank_Summary!$A$5:$A$35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Tank_Summary!$R$5:$R$35</c:f>
              <c:numCache>
                <c:formatCode>0.0%;\(0.0%\);\-</c:formatCode>
                <c:ptCount val="31"/>
                <c:pt idx="0">
                  <c:v>0.53866666666666663</c:v>
                </c:pt>
                <c:pt idx="1">
                  <c:v>0.57733333333333337</c:v>
                </c:pt>
                <c:pt idx="2">
                  <c:v>0.62016666666666664</c:v>
                </c:pt>
                <c:pt idx="3">
                  <c:v>0.64800000000000002</c:v>
                </c:pt>
                <c:pt idx="4">
                  <c:v>0.66316666666666679</c:v>
                </c:pt>
                <c:pt idx="5">
                  <c:v>0.6885</c:v>
                </c:pt>
                <c:pt idx="6">
                  <c:v>0.72583333333333344</c:v>
                </c:pt>
                <c:pt idx="7">
                  <c:v>0.76750000000000007</c:v>
                </c:pt>
                <c:pt idx="8">
                  <c:v>0.81066666666666665</c:v>
                </c:pt>
                <c:pt idx="9">
                  <c:v>0.34933333333333333</c:v>
                </c:pt>
                <c:pt idx="10">
                  <c:v>0.38800000000000001</c:v>
                </c:pt>
                <c:pt idx="11">
                  <c:v>0.42666666666666669</c:v>
                </c:pt>
                <c:pt idx="12">
                  <c:v>0.46533333333333338</c:v>
                </c:pt>
                <c:pt idx="13">
                  <c:v>0.504</c:v>
                </c:pt>
                <c:pt idx="14">
                  <c:v>0.54266666666666674</c:v>
                </c:pt>
                <c:pt idx="15">
                  <c:v>0.58133333333333337</c:v>
                </c:pt>
                <c:pt idx="16">
                  <c:v>0.62</c:v>
                </c:pt>
                <c:pt idx="17">
                  <c:v>0.65866666666666673</c:v>
                </c:pt>
                <c:pt idx="18">
                  <c:v>0.69733333333333336</c:v>
                </c:pt>
                <c:pt idx="19">
                  <c:v>0.7360000000000001</c:v>
                </c:pt>
                <c:pt idx="20">
                  <c:v>0.77466666666666673</c:v>
                </c:pt>
                <c:pt idx="21">
                  <c:v>0.81333333333333335</c:v>
                </c:pt>
                <c:pt idx="22">
                  <c:v>0.85200000000000009</c:v>
                </c:pt>
                <c:pt idx="23">
                  <c:v>0.39066666666666677</c:v>
                </c:pt>
                <c:pt idx="24">
                  <c:v>0.4293333333333334</c:v>
                </c:pt>
                <c:pt idx="25">
                  <c:v>0.46800000000000008</c:v>
                </c:pt>
                <c:pt idx="26">
                  <c:v>0.50666666666666671</c:v>
                </c:pt>
                <c:pt idx="27">
                  <c:v>0.54533333333333345</c:v>
                </c:pt>
                <c:pt idx="28">
                  <c:v>0.58400000000000007</c:v>
                </c:pt>
                <c:pt idx="29">
                  <c:v>0.62266666666666681</c:v>
                </c:pt>
                <c:pt idx="30">
                  <c:v>0.66133333333333344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19-47DB-9577-72EA25264972}"/>
            </c:ext>
          </c:extLst>
        </c:ser>
        <c:ser>
          <c:idx val="1"/>
          <c:order val="1"/>
          <c:tx>
            <c:strRef>
              <c:f>Tank_Summary!$S$4</c:f>
              <c:strCache>
                <c:ptCount val="1"/>
                <c:pt idx="0">
                  <c:v>TK-301
Naphtha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Tank_Summary!$A$5:$A$35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Tank_Summary!$S$5:$S$35</c:f>
              <c:numCache>
                <c:formatCode>0.0%;\(0.0%\);\-</c:formatCode>
                <c:ptCount val="31"/>
                <c:pt idx="0">
                  <c:v>0.47839999999999999</c:v>
                </c:pt>
                <c:pt idx="1">
                  <c:v>0.51679999999999993</c:v>
                </c:pt>
                <c:pt idx="2">
                  <c:v>0.55088000000000004</c:v>
                </c:pt>
                <c:pt idx="3">
                  <c:v>0.58623999999999998</c:v>
                </c:pt>
                <c:pt idx="4">
                  <c:v>0.6214400000000001</c:v>
                </c:pt>
                <c:pt idx="5">
                  <c:v>0.65848000000000007</c:v>
                </c:pt>
                <c:pt idx="6">
                  <c:v>0.69423999999999997</c:v>
                </c:pt>
                <c:pt idx="7">
                  <c:v>0.73263999999999996</c:v>
                </c:pt>
                <c:pt idx="8">
                  <c:v>0.36712</c:v>
                </c:pt>
                <c:pt idx="9">
                  <c:v>0.40551999999999999</c:v>
                </c:pt>
                <c:pt idx="10">
                  <c:v>0.44391999999999998</c:v>
                </c:pt>
                <c:pt idx="11">
                  <c:v>0.48231999999999992</c:v>
                </c:pt>
                <c:pt idx="12">
                  <c:v>0.52071999999999996</c:v>
                </c:pt>
                <c:pt idx="13">
                  <c:v>0.55911999999999984</c:v>
                </c:pt>
                <c:pt idx="14">
                  <c:v>0.59751999999999983</c:v>
                </c:pt>
                <c:pt idx="15">
                  <c:v>0.63591999999999982</c:v>
                </c:pt>
                <c:pt idx="16">
                  <c:v>0.67431999999999981</c:v>
                </c:pt>
                <c:pt idx="17">
                  <c:v>0.7127199999999998</c:v>
                </c:pt>
                <c:pt idx="18">
                  <c:v>0.75111999999999979</c:v>
                </c:pt>
                <c:pt idx="19">
                  <c:v>0.38951999999999976</c:v>
                </c:pt>
                <c:pt idx="20">
                  <c:v>0.42791999999999975</c:v>
                </c:pt>
                <c:pt idx="21">
                  <c:v>0.46631999999999973</c:v>
                </c:pt>
                <c:pt idx="22">
                  <c:v>0.50471999999999972</c:v>
                </c:pt>
                <c:pt idx="23">
                  <c:v>0.54311999999999971</c:v>
                </c:pt>
                <c:pt idx="24">
                  <c:v>0.58151999999999959</c:v>
                </c:pt>
                <c:pt idx="25">
                  <c:v>0.61991999999999958</c:v>
                </c:pt>
                <c:pt idx="26">
                  <c:v>0.65831999999999957</c:v>
                </c:pt>
                <c:pt idx="27">
                  <c:v>0.69671999999999956</c:v>
                </c:pt>
                <c:pt idx="28">
                  <c:v>0.73511999999999955</c:v>
                </c:pt>
                <c:pt idx="29">
                  <c:v>0.37351999999999952</c:v>
                </c:pt>
                <c:pt idx="30">
                  <c:v>0.41191999999999951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19-47DB-9577-72EA25264972}"/>
            </c:ext>
          </c:extLst>
        </c:ser>
        <c:ser>
          <c:idx val="2"/>
          <c:order val="2"/>
          <c:tx>
            <c:strRef>
              <c:f>Tank_Summary!$T$4</c:f>
              <c:strCache>
                <c:ptCount val="1"/>
                <c:pt idx="0">
                  <c:v>TK-401
Gasoline 95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Tank_Summary!$A$5:$A$35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Tank_Summary!$T$5:$T$35</c:f>
              <c:numCache>
                <c:formatCode>0.0%;\(0.0%\);\-</c:formatCode>
                <c:ptCount val="31"/>
                <c:pt idx="0">
                  <c:v>0.46279999999999999</c:v>
                </c:pt>
                <c:pt idx="1">
                  <c:v>0.47560000000000002</c:v>
                </c:pt>
                <c:pt idx="2">
                  <c:v>0.49180000000000007</c:v>
                </c:pt>
                <c:pt idx="3">
                  <c:v>0.49990000000000007</c:v>
                </c:pt>
                <c:pt idx="4">
                  <c:v>0.50120000000000009</c:v>
                </c:pt>
                <c:pt idx="5">
                  <c:v>0.5072000000000001</c:v>
                </c:pt>
                <c:pt idx="6">
                  <c:v>0.52000000000000013</c:v>
                </c:pt>
                <c:pt idx="7">
                  <c:v>0.53410000000000013</c:v>
                </c:pt>
                <c:pt idx="8">
                  <c:v>0.55030000000000012</c:v>
                </c:pt>
                <c:pt idx="9">
                  <c:v>0.56310000000000016</c:v>
                </c:pt>
                <c:pt idx="10">
                  <c:v>0.57590000000000019</c:v>
                </c:pt>
                <c:pt idx="11">
                  <c:v>0.38870000000000021</c:v>
                </c:pt>
                <c:pt idx="12">
                  <c:v>0.40150000000000019</c:v>
                </c:pt>
                <c:pt idx="13">
                  <c:v>0.41430000000000022</c:v>
                </c:pt>
                <c:pt idx="14">
                  <c:v>0.4271000000000002</c:v>
                </c:pt>
                <c:pt idx="15">
                  <c:v>0.43990000000000024</c:v>
                </c:pt>
                <c:pt idx="16">
                  <c:v>0.45270000000000027</c:v>
                </c:pt>
                <c:pt idx="17">
                  <c:v>0.46550000000000025</c:v>
                </c:pt>
                <c:pt idx="18">
                  <c:v>0.47830000000000028</c:v>
                </c:pt>
                <c:pt idx="19">
                  <c:v>0.49110000000000026</c:v>
                </c:pt>
                <c:pt idx="20">
                  <c:v>0.50390000000000024</c:v>
                </c:pt>
                <c:pt idx="21">
                  <c:v>0.51670000000000027</c:v>
                </c:pt>
                <c:pt idx="22">
                  <c:v>0.5295000000000003</c:v>
                </c:pt>
                <c:pt idx="23">
                  <c:v>0.54230000000000034</c:v>
                </c:pt>
                <c:pt idx="24">
                  <c:v>0.55510000000000037</c:v>
                </c:pt>
                <c:pt idx="25">
                  <c:v>0.36790000000000034</c:v>
                </c:pt>
                <c:pt idx="26">
                  <c:v>0.38070000000000037</c:v>
                </c:pt>
                <c:pt idx="27">
                  <c:v>0.39350000000000035</c:v>
                </c:pt>
                <c:pt idx="28">
                  <c:v>0.40630000000000038</c:v>
                </c:pt>
                <c:pt idx="29">
                  <c:v>0.41910000000000042</c:v>
                </c:pt>
                <c:pt idx="30">
                  <c:v>0.43190000000000039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219-47DB-9577-72EA25264972}"/>
            </c:ext>
          </c:extLst>
        </c:ser>
        <c:ser>
          <c:idx val="3"/>
          <c:order val="3"/>
          <c:tx>
            <c:strRef>
              <c:f>Tank_Summary!$U$4</c:f>
              <c:strCache>
                <c:ptCount val="1"/>
                <c:pt idx="0">
                  <c:v>TK-501
Jet A-1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Tank_Summary!$A$5:$A$35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Tank_Summary!$U$5:$U$35</c:f>
              <c:numCache>
                <c:formatCode>0.0%;\(0.0%\);\-</c:formatCode>
                <c:ptCount val="31"/>
                <c:pt idx="0">
                  <c:v>0.48433333333333339</c:v>
                </c:pt>
                <c:pt idx="1">
                  <c:v>0.50200000000000011</c:v>
                </c:pt>
                <c:pt idx="2">
                  <c:v>0.51963333333333339</c:v>
                </c:pt>
                <c:pt idx="3">
                  <c:v>0.53313333333333346</c:v>
                </c:pt>
                <c:pt idx="4">
                  <c:v>0.54156666666666675</c:v>
                </c:pt>
                <c:pt idx="5">
                  <c:v>0.55356666666666676</c:v>
                </c:pt>
                <c:pt idx="6">
                  <c:v>0.28636666666666677</c:v>
                </c:pt>
                <c:pt idx="7">
                  <c:v>0.30403333333333343</c:v>
                </c:pt>
                <c:pt idx="8">
                  <c:v>0.32176666666666676</c:v>
                </c:pt>
                <c:pt idx="9">
                  <c:v>0.33943333333333342</c:v>
                </c:pt>
                <c:pt idx="10">
                  <c:v>0.35710000000000008</c:v>
                </c:pt>
                <c:pt idx="11">
                  <c:v>0.3747666666666668</c:v>
                </c:pt>
                <c:pt idx="12">
                  <c:v>0.39243333333333347</c:v>
                </c:pt>
                <c:pt idx="13">
                  <c:v>0.41010000000000019</c:v>
                </c:pt>
                <c:pt idx="14">
                  <c:v>0.42776666666666691</c:v>
                </c:pt>
                <c:pt idx="15">
                  <c:v>0.44543333333333363</c:v>
                </c:pt>
                <c:pt idx="16">
                  <c:v>0.46310000000000029</c:v>
                </c:pt>
                <c:pt idx="17">
                  <c:v>0.48076666666666701</c:v>
                </c:pt>
                <c:pt idx="18">
                  <c:v>0.49843333333333373</c:v>
                </c:pt>
                <c:pt idx="19">
                  <c:v>0.51610000000000045</c:v>
                </c:pt>
                <c:pt idx="20">
                  <c:v>0.25043333333333379</c:v>
                </c:pt>
                <c:pt idx="21">
                  <c:v>0.26810000000000045</c:v>
                </c:pt>
                <c:pt idx="22">
                  <c:v>0.28576666666666711</c:v>
                </c:pt>
                <c:pt idx="23">
                  <c:v>0.30343333333333378</c:v>
                </c:pt>
                <c:pt idx="24">
                  <c:v>0.32110000000000044</c:v>
                </c:pt>
                <c:pt idx="25">
                  <c:v>0.3387666666666671</c:v>
                </c:pt>
                <c:pt idx="26">
                  <c:v>0.35643333333333371</c:v>
                </c:pt>
                <c:pt idx="27">
                  <c:v>0.37410000000000043</c:v>
                </c:pt>
                <c:pt idx="28">
                  <c:v>0.39176666666666715</c:v>
                </c:pt>
                <c:pt idx="29">
                  <c:v>0.40943333333333387</c:v>
                </c:pt>
                <c:pt idx="30">
                  <c:v>0.42710000000000053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219-47DB-9577-72EA25264972}"/>
            </c:ext>
          </c:extLst>
        </c:ser>
        <c:ser>
          <c:idx val="4"/>
          <c:order val="4"/>
          <c:tx>
            <c:strRef>
              <c:f>Tank_Summary!$V$4</c:f>
              <c:strCache>
                <c:ptCount val="1"/>
                <c:pt idx="0">
                  <c:v>TK-601
Diesel B10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Tank_Summary!$A$5:$A$35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Tank_Summary!$V$5:$V$35</c:f>
              <c:numCache>
                <c:formatCode>0.0%;\(0.0%\);\-</c:formatCode>
                <c:ptCount val="31"/>
                <c:pt idx="0">
                  <c:v>0.47655359999999997</c:v>
                </c:pt>
                <c:pt idx="1">
                  <c:v>0.49310719999999991</c:v>
                </c:pt>
                <c:pt idx="2">
                  <c:v>0.5101311999999999</c:v>
                </c:pt>
                <c:pt idx="3">
                  <c:v>0.52201999999999993</c:v>
                </c:pt>
                <c:pt idx="4">
                  <c:v>0.52834239999999999</c:v>
                </c:pt>
                <c:pt idx="5">
                  <c:v>0.53885919999999998</c:v>
                </c:pt>
                <c:pt idx="6">
                  <c:v>0.55415840000000005</c:v>
                </c:pt>
                <c:pt idx="7">
                  <c:v>0.57106480000000004</c:v>
                </c:pt>
                <c:pt idx="8">
                  <c:v>0.58793200000000001</c:v>
                </c:pt>
                <c:pt idx="9">
                  <c:v>0.60448559999999996</c:v>
                </c:pt>
                <c:pt idx="10">
                  <c:v>0.34103919999999993</c:v>
                </c:pt>
                <c:pt idx="11">
                  <c:v>0.35759279999999988</c:v>
                </c:pt>
                <c:pt idx="12">
                  <c:v>0.37414639999999988</c:v>
                </c:pt>
                <c:pt idx="13">
                  <c:v>0.39069999999999983</c:v>
                </c:pt>
                <c:pt idx="14">
                  <c:v>0.40725359999999977</c:v>
                </c:pt>
                <c:pt idx="15">
                  <c:v>0.42380719999999972</c:v>
                </c:pt>
                <c:pt idx="16">
                  <c:v>0.44036079999999972</c:v>
                </c:pt>
                <c:pt idx="17">
                  <c:v>0.45691439999999967</c:v>
                </c:pt>
                <c:pt idx="18">
                  <c:v>0.47346799999999961</c:v>
                </c:pt>
                <c:pt idx="19">
                  <c:v>0.49002159999999956</c:v>
                </c:pt>
                <c:pt idx="20">
                  <c:v>0.50657519999999956</c:v>
                </c:pt>
                <c:pt idx="21">
                  <c:v>0.52312879999999951</c:v>
                </c:pt>
                <c:pt idx="22">
                  <c:v>0.53968239999999945</c:v>
                </c:pt>
                <c:pt idx="23">
                  <c:v>0.5562359999999994</c:v>
                </c:pt>
                <c:pt idx="24">
                  <c:v>0.29278959999999937</c:v>
                </c:pt>
                <c:pt idx="25">
                  <c:v>0.30934319999999932</c:v>
                </c:pt>
                <c:pt idx="26">
                  <c:v>0.32589679999999932</c:v>
                </c:pt>
                <c:pt idx="27">
                  <c:v>0.34245039999999927</c:v>
                </c:pt>
                <c:pt idx="28">
                  <c:v>0.35900399999999921</c:v>
                </c:pt>
                <c:pt idx="29">
                  <c:v>0.37555759999999916</c:v>
                </c:pt>
                <c:pt idx="30">
                  <c:v>0.39211119999999916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219-47DB-9577-72EA25264972}"/>
            </c:ext>
          </c:extLst>
        </c:ser>
        <c:ser>
          <c:idx val="5"/>
          <c:order val="5"/>
          <c:tx>
            <c:strRef>
              <c:f>Tank_Summary!$W$4</c:f>
              <c:strCache>
                <c:ptCount val="1"/>
                <c:pt idx="0">
                  <c:v>TK-701
Fuel Oil</c:v>
                </c:pt>
              </c:strCache>
            </c:strRef>
          </c:tx>
          <c:spPr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Tank_Summary!$A$5:$A$35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Tank_Summary!$W$5:$W$35</c:f>
              <c:numCache>
                <c:formatCode>0.0%;\(0.0%\);\-</c:formatCode>
                <c:ptCount val="31"/>
                <c:pt idx="0">
                  <c:v>0.50329999999999997</c:v>
                </c:pt>
                <c:pt idx="1">
                  <c:v>0.55659999999999998</c:v>
                </c:pt>
                <c:pt idx="2">
                  <c:v>0.60764999999999991</c:v>
                </c:pt>
                <c:pt idx="3">
                  <c:v>0.65894999999999992</c:v>
                </c:pt>
                <c:pt idx="4">
                  <c:v>0.70590000000000008</c:v>
                </c:pt>
                <c:pt idx="5">
                  <c:v>0.25427500000000008</c:v>
                </c:pt>
                <c:pt idx="6">
                  <c:v>0.30475000000000008</c:v>
                </c:pt>
                <c:pt idx="7">
                  <c:v>0.35570000000000007</c:v>
                </c:pt>
                <c:pt idx="8">
                  <c:v>0.40657500000000008</c:v>
                </c:pt>
                <c:pt idx="9">
                  <c:v>0.45987500000000009</c:v>
                </c:pt>
                <c:pt idx="10">
                  <c:v>0.51317500000000005</c:v>
                </c:pt>
                <c:pt idx="11">
                  <c:v>0.56647500000000006</c:v>
                </c:pt>
                <c:pt idx="12">
                  <c:v>0.61977500000000008</c:v>
                </c:pt>
                <c:pt idx="13">
                  <c:v>0.67307500000000009</c:v>
                </c:pt>
                <c:pt idx="14">
                  <c:v>0.72637499999999999</c:v>
                </c:pt>
                <c:pt idx="15">
                  <c:v>0.77967500000000001</c:v>
                </c:pt>
                <c:pt idx="16">
                  <c:v>0.83297500000000002</c:v>
                </c:pt>
                <c:pt idx="17">
                  <c:v>0.38627499999999998</c:v>
                </c:pt>
                <c:pt idx="18">
                  <c:v>0.43957499999999994</c:v>
                </c:pt>
                <c:pt idx="19">
                  <c:v>0.49287499999999995</c:v>
                </c:pt>
                <c:pt idx="20">
                  <c:v>0.54617499999999997</c:v>
                </c:pt>
                <c:pt idx="21">
                  <c:v>0.59947499999999987</c:v>
                </c:pt>
                <c:pt idx="22">
                  <c:v>0.65277499999999988</c:v>
                </c:pt>
                <c:pt idx="23">
                  <c:v>0.7060749999999999</c:v>
                </c:pt>
                <c:pt idx="24">
                  <c:v>0.75937499999999991</c:v>
                </c:pt>
                <c:pt idx="25">
                  <c:v>0.81267499999999981</c:v>
                </c:pt>
                <c:pt idx="26">
                  <c:v>0.86597499999999983</c:v>
                </c:pt>
                <c:pt idx="27">
                  <c:v>0.91927499999999984</c:v>
                </c:pt>
                <c:pt idx="28">
                  <c:v>0.4725749999999998</c:v>
                </c:pt>
                <c:pt idx="29">
                  <c:v>0.52587499999999976</c:v>
                </c:pt>
                <c:pt idx="30">
                  <c:v>0.57917499999999977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219-47DB-9577-72EA2526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2014004"/>
        <c:axId val="39167165"/>
      </c:lineChart>
      <c:catAx>
        <c:axId val="720140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MY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167165"/>
        <c:crosses val="autoZero"/>
        <c:auto val="1"/>
        <c:lblAlgn val="ctr"/>
        <c:lblOffset val="100"/>
        <c:noMultiLvlLbl val="0"/>
      </c:catAx>
      <c:valAx>
        <c:axId val="39167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MY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Fill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0140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160920</xdr:rowOff>
    </xdr:from>
    <xdr:to>
      <xdr:col>8</xdr:col>
      <xdr:colOff>692280</xdr:colOff>
      <xdr:row>52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37</xdr:row>
      <xdr:rowOff>160920</xdr:rowOff>
    </xdr:from>
    <xdr:to>
      <xdr:col>19</xdr:col>
      <xdr:colOff>480960</xdr:colOff>
      <xdr:row>52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showGridLines="0" zoomScaleNormal="100" workbookViewId="0">
      <pane ySplit="3" topLeftCell="A4" activePane="bottomLeft" state="frozen"/>
      <selection pane="bottomLeft" activeCell="I22" sqref="I22"/>
    </sheetView>
  </sheetViews>
  <sheetFormatPr defaultColWidth="8.7109375" defaultRowHeight="15" customHeight="1" x14ac:dyDescent="0.25"/>
  <cols>
    <col min="1" max="1" width="7" customWidth="1"/>
    <col min="2" max="2" width="30" customWidth="1"/>
    <col min="3" max="3" width="78" customWidth="1"/>
    <col min="4" max="4" width="36" customWidth="1"/>
    <col min="5" max="5" width="13" customWidth="1"/>
  </cols>
  <sheetData>
    <row r="1" spans="1:5" ht="18" x14ac:dyDescent="0.25">
      <c r="A1" s="3" t="s">
        <v>0</v>
      </c>
    </row>
    <row r="2" spans="1:5" x14ac:dyDescent="0.25">
      <c r="A2" s="4" t="s">
        <v>1</v>
      </c>
    </row>
    <row r="5" spans="1:5" x14ac:dyDescent="0.25">
      <c r="A5" s="51" t="s">
        <v>2</v>
      </c>
      <c r="B5" s="51"/>
      <c r="C5" s="51"/>
      <c r="D5" s="51"/>
      <c r="E5" s="51"/>
    </row>
    <row r="6" spans="1:5" ht="43.5" customHeight="1" x14ac:dyDescent="0.25">
      <c r="A6" s="52" t="s">
        <v>3</v>
      </c>
      <c r="B6" s="52"/>
      <c r="C6" s="52"/>
      <c r="D6" s="52"/>
      <c r="E6" s="52"/>
    </row>
    <row r="7" spans="1:5" ht="27.75" customHeight="1" x14ac:dyDescent="0.25">
      <c r="A7" s="2" t="s">
        <v>4</v>
      </c>
      <c r="B7" s="53" t="s">
        <v>5</v>
      </c>
      <c r="C7" s="53"/>
      <c r="D7" s="53"/>
      <c r="E7" s="53"/>
    </row>
    <row r="8" spans="1:5" ht="27.75" customHeight="1" x14ac:dyDescent="0.25">
      <c r="A8" s="2" t="s">
        <v>6</v>
      </c>
      <c r="B8" s="53" t="s">
        <v>7</v>
      </c>
      <c r="C8" s="53"/>
      <c r="D8" s="53"/>
      <c r="E8" s="53"/>
    </row>
    <row r="9" spans="1:5" ht="15" customHeight="1" x14ac:dyDescent="0.25">
      <c r="A9" s="2" t="s">
        <v>8</v>
      </c>
      <c r="B9" s="53" t="s">
        <v>9</v>
      </c>
      <c r="C9" s="53"/>
      <c r="D9" s="53"/>
      <c r="E9" s="53"/>
    </row>
    <row r="10" spans="1:5" ht="15" customHeight="1" x14ac:dyDescent="0.25">
      <c r="A10" s="2" t="s">
        <v>10</v>
      </c>
      <c r="B10" s="53" t="s">
        <v>11</v>
      </c>
      <c r="C10" s="53"/>
      <c r="D10" s="53"/>
      <c r="E10" s="53"/>
    </row>
    <row r="11" spans="1:5" ht="27.75" customHeight="1" x14ac:dyDescent="0.25">
      <c r="A11" s="2" t="s">
        <v>12</v>
      </c>
      <c r="B11" s="53" t="s">
        <v>13</v>
      </c>
      <c r="C11" s="53"/>
      <c r="D11" s="53"/>
      <c r="E11" s="53"/>
    </row>
    <row r="13" spans="1:5" x14ac:dyDescent="0.25">
      <c r="A13" s="51" t="s">
        <v>14</v>
      </c>
      <c r="B13" s="51"/>
      <c r="C13" s="51"/>
      <c r="D13" s="51"/>
      <c r="E13" s="51"/>
    </row>
    <row r="14" spans="1:5" x14ac:dyDescent="0.25">
      <c r="B14" s="5" t="s">
        <v>15</v>
      </c>
      <c r="C14" s="6" t="s">
        <v>16</v>
      </c>
    </row>
    <row r="15" spans="1:5" x14ac:dyDescent="0.25">
      <c r="B15" s="7" t="s">
        <v>17</v>
      </c>
      <c r="C15" s="6" t="s">
        <v>18</v>
      </c>
    </row>
    <row r="16" spans="1:5" x14ac:dyDescent="0.25">
      <c r="B16" s="8" t="s">
        <v>19</v>
      </c>
      <c r="C16" s="6" t="s">
        <v>20</v>
      </c>
    </row>
    <row r="17" spans="1:5" x14ac:dyDescent="0.25">
      <c r="B17" s="9" t="s">
        <v>21</v>
      </c>
      <c r="C17" s="6" t="s">
        <v>22</v>
      </c>
    </row>
    <row r="18" spans="1:5" x14ac:dyDescent="0.25">
      <c r="B18" s="10" t="s">
        <v>23</v>
      </c>
      <c r="C18" s="6" t="s">
        <v>24</v>
      </c>
    </row>
    <row r="20" spans="1:5" x14ac:dyDescent="0.25">
      <c r="A20" s="51" t="s">
        <v>25</v>
      </c>
      <c r="B20" s="51"/>
      <c r="C20" s="51"/>
      <c r="D20" s="51"/>
      <c r="E20" s="51"/>
    </row>
    <row r="21" spans="1:5" x14ac:dyDescent="0.25">
      <c r="A21" s="11"/>
      <c r="B21" s="11" t="s">
        <v>26</v>
      </c>
      <c r="C21" s="11" t="s">
        <v>27</v>
      </c>
      <c r="D21" s="11" t="s">
        <v>28</v>
      </c>
    </row>
    <row r="22" spans="1:5" ht="25.5" x14ac:dyDescent="0.25">
      <c r="A22" s="2"/>
      <c r="B22" s="2" t="s">
        <v>29</v>
      </c>
      <c r="C22" s="2" t="s">
        <v>30</v>
      </c>
      <c r="D22" s="2" t="s">
        <v>31</v>
      </c>
    </row>
    <row r="23" spans="1:5" ht="25.5" x14ac:dyDescent="0.25">
      <c r="A23" s="2"/>
      <c r="B23" s="2" t="s">
        <v>32</v>
      </c>
      <c r="C23" s="2" t="s">
        <v>33</v>
      </c>
      <c r="D23" s="2" t="s">
        <v>34</v>
      </c>
    </row>
    <row r="24" spans="1:5" ht="38.25" x14ac:dyDescent="0.25">
      <c r="A24" s="2"/>
      <c r="B24" s="2" t="s">
        <v>35</v>
      </c>
      <c r="C24" s="2" t="s">
        <v>36</v>
      </c>
      <c r="D24" s="2" t="s">
        <v>37</v>
      </c>
    </row>
    <row r="25" spans="1:5" ht="25.5" x14ac:dyDescent="0.25">
      <c r="A25" s="2"/>
      <c r="B25" s="2" t="s">
        <v>38</v>
      </c>
      <c r="C25" s="2" t="s">
        <v>39</v>
      </c>
      <c r="D25" s="2" t="s">
        <v>40</v>
      </c>
    </row>
    <row r="27" spans="1:5" x14ac:dyDescent="0.25">
      <c r="A27" s="51" t="s">
        <v>41</v>
      </c>
      <c r="B27" s="51"/>
      <c r="C27" s="51"/>
      <c r="D27" s="51"/>
      <c r="E27" s="51"/>
    </row>
    <row r="28" spans="1:5" x14ac:dyDescent="0.25">
      <c r="A28" s="11"/>
      <c r="B28" s="11" t="s">
        <v>42</v>
      </c>
      <c r="C28" s="11" t="s">
        <v>27</v>
      </c>
      <c r="D28" s="11" t="s">
        <v>43</v>
      </c>
      <c r="E28" s="11" t="s">
        <v>44</v>
      </c>
    </row>
    <row r="29" spans="1:5" x14ac:dyDescent="0.25">
      <c r="A29" s="2"/>
      <c r="B29" s="2" t="s">
        <v>45</v>
      </c>
      <c r="C29" s="2" t="s">
        <v>46</v>
      </c>
      <c r="D29" s="2" t="s">
        <v>47</v>
      </c>
      <c r="E29" s="2" t="s">
        <v>48</v>
      </c>
    </row>
    <row r="30" spans="1:5" ht="25.5" x14ac:dyDescent="0.25">
      <c r="A30" s="2"/>
      <c r="B30" s="2" t="s">
        <v>49</v>
      </c>
      <c r="C30" s="2" t="s">
        <v>50</v>
      </c>
      <c r="D30" s="2" t="s">
        <v>51</v>
      </c>
      <c r="E30" s="2" t="s">
        <v>52</v>
      </c>
    </row>
    <row r="31" spans="1:5" x14ac:dyDescent="0.25">
      <c r="A31" s="2"/>
      <c r="B31" s="2" t="s">
        <v>53</v>
      </c>
      <c r="C31" s="2" t="s">
        <v>54</v>
      </c>
      <c r="D31" s="2" t="s">
        <v>55</v>
      </c>
      <c r="E31" s="2" t="s">
        <v>56</v>
      </c>
    </row>
    <row r="32" spans="1:5" ht="25.5" x14ac:dyDescent="0.25">
      <c r="A32" s="2"/>
      <c r="B32" s="2" t="s">
        <v>57</v>
      </c>
      <c r="C32" s="2" t="s">
        <v>58</v>
      </c>
      <c r="D32" s="2" t="s">
        <v>59</v>
      </c>
      <c r="E32" s="2" t="s">
        <v>60</v>
      </c>
    </row>
    <row r="33" spans="1:5" ht="15" customHeight="1" x14ac:dyDescent="0.25">
      <c r="A33" s="52" t="s">
        <v>61</v>
      </c>
      <c r="B33" s="52"/>
      <c r="C33" s="52"/>
      <c r="D33" s="52"/>
      <c r="E33" s="52"/>
    </row>
    <row r="35" spans="1:5" x14ac:dyDescent="0.25">
      <c r="A35" s="51" t="s">
        <v>62</v>
      </c>
      <c r="B35" s="51"/>
      <c r="C35" s="51"/>
      <c r="D35" s="51"/>
      <c r="E35" s="51"/>
    </row>
    <row r="36" spans="1:5" x14ac:dyDescent="0.25">
      <c r="A36" s="11"/>
      <c r="B36" s="11" t="s">
        <v>63</v>
      </c>
      <c r="C36" s="11" t="s">
        <v>64</v>
      </c>
      <c r="D36" s="11" t="s">
        <v>65</v>
      </c>
    </row>
    <row r="37" spans="1:5" x14ac:dyDescent="0.25">
      <c r="A37" s="2"/>
      <c r="B37" s="2" t="s">
        <v>66</v>
      </c>
      <c r="C37" s="2" t="s">
        <v>67</v>
      </c>
      <c r="D37" s="2" t="s">
        <v>68</v>
      </c>
    </row>
    <row r="38" spans="1:5" ht="25.5" x14ac:dyDescent="0.25">
      <c r="A38" s="2"/>
      <c r="B38" s="2" t="s">
        <v>69</v>
      </c>
      <c r="C38" s="2" t="s">
        <v>70</v>
      </c>
      <c r="D38" s="2" t="s">
        <v>71</v>
      </c>
    </row>
    <row r="39" spans="1:5" x14ac:dyDescent="0.25">
      <c r="A39" s="2"/>
      <c r="B39" s="2" t="s">
        <v>72</v>
      </c>
      <c r="C39" s="2" t="s">
        <v>73</v>
      </c>
      <c r="D39" s="2" t="s">
        <v>74</v>
      </c>
    </row>
    <row r="40" spans="1:5" x14ac:dyDescent="0.25">
      <c r="A40" s="2"/>
      <c r="B40" s="2" t="s">
        <v>75</v>
      </c>
      <c r="C40" s="2" t="s">
        <v>76</v>
      </c>
      <c r="D40" s="2" t="s">
        <v>77</v>
      </c>
    </row>
    <row r="41" spans="1:5" x14ac:dyDescent="0.25">
      <c r="A41" s="2"/>
      <c r="B41" s="2" t="s">
        <v>78</v>
      </c>
      <c r="C41" s="2" t="s">
        <v>79</v>
      </c>
      <c r="D41" s="2" t="s">
        <v>80</v>
      </c>
    </row>
    <row r="42" spans="1:5" x14ac:dyDescent="0.25">
      <c r="A42" s="2"/>
      <c r="B42" s="2" t="s">
        <v>81</v>
      </c>
      <c r="C42" s="2" t="s">
        <v>82</v>
      </c>
      <c r="D42" s="2" t="s">
        <v>83</v>
      </c>
    </row>
    <row r="43" spans="1:5" x14ac:dyDescent="0.25">
      <c r="A43" s="2"/>
      <c r="B43" s="2" t="s">
        <v>84</v>
      </c>
      <c r="C43" s="2" t="s">
        <v>85</v>
      </c>
      <c r="D43" s="2" t="s">
        <v>86</v>
      </c>
    </row>
    <row r="44" spans="1:5" x14ac:dyDescent="0.25">
      <c r="A44" s="2"/>
      <c r="B44" s="2" t="s">
        <v>87</v>
      </c>
      <c r="C44" s="2" t="s">
        <v>88</v>
      </c>
      <c r="D44" s="2" t="s">
        <v>89</v>
      </c>
    </row>
    <row r="45" spans="1:5" x14ac:dyDescent="0.25">
      <c r="A45" s="2"/>
      <c r="B45" s="2" t="s">
        <v>90</v>
      </c>
      <c r="C45" s="2" t="s">
        <v>91</v>
      </c>
      <c r="D45" s="2" t="s">
        <v>92</v>
      </c>
    </row>
    <row r="47" spans="1:5" x14ac:dyDescent="0.25">
      <c r="A47" s="51" t="s">
        <v>93</v>
      </c>
      <c r="B47" s="51"/>
      <c r="C47" s="51"/>
      <c r="D47" s="51"/>
      <c r="E47" s="51"/>
    </row>
    <row r="48" spans="1:5" ht="36" customHeight="1" x14ac:dyDescent="0.25">
      <c r="A48" s="54" t="s">
        <v>94</v>
      </c>
      <c r="B48" s="54"/>
      <c r="C48" s="54"/>
      <c r="D48" s="54"/>
      <c r="E48" s="54"/>
    </row>
    <row r="49" spans="1:5" x14ac:dyDescent="0.25">
      <c r="A49" s="11"/>
      <c r="B49" s="11" t="s">
        <v>95</v>
      </c>
      <c r="C49" s="11" t="s">
        <v>27</v>
      </c>
      <c r="D49" s="11" t="s">
        <v>96</v>
      </c>
    </row>
    <row r="50" spans="1:5" x14ac:dyDescent="0.25">
      <c r="A50" s="2"/>
      <c r="B50" s="2" t="s">
        <v>97</v>
      </c>
      <c r="C50" s="2" t="s">
        <v>98</v>
      </c>
      <c r="D50" s="2" t="s">
        <v>99</v>
      </c>
    </row>
    <row r="51" spans="1:5" x14ac:dyDescent="0.25">
      <c r="A51" s="2"/>
      <c r="B51" s="2" t="s">
        <v>100</v>
      </c>
      <c r="C51" s="2" t="s">
        <v>101</v>
      </c>
      <c r="D51" s="2" t="s">
        <v>102</v>
      </c>
    </row>
    <row r="52" spans="1:5" ht="25.5" x14ac:dyDescent="0.25">
      <c r="A52" s="2"/>
      <c r="B52" s="2" t="s">
        <v>103</v>
      </c>
      <c r="C52" s="2" t="s">
        <v>104</v>
      </c>
      <c r="D52" s="2" t="s">
        <v>105</v>
      </c>
    </row>
    <row r="53" spans="1:5" x14ac:dyDescent="0.25">
      <c r="A53" s="2"/>
      <c r="B53" s="2" t="s">
        <v>106</v>
      </c>
      <c r="C53" s="2" t="s">
        <v>107</v>
      </c>
      <c r="D53" s="2" t="s">
        <v>108</v>
      </c>
    </row>
    <row r="54" spans="1:5" ht="43.5" customHeight="1" x14ac:dyDescent="0.25">
      <c r="A54" s="52" t="s">
        <v>109</v>
      </c>
      <c r="B54" s="52"/>
      <c r="C54" s="52"/>
      <c r="D54" s="52"/>
      <c r="E54" s="52"/>
    </row>
    <row r="56" spans="1:5" x14ac:dyDescent="0.25">
      <c r="A56" s="51" t="s">
        <v>110</v>
      </c>
      <c r="B56" s="51"/>
      <c r="C56" s="51"/>
      <c r="D56" s="51"/>
      <c r="E56" s="51"/>
    </row>
    <row r="57" spans="1:5" x14ac:dyDescent="0.25">
      <c r="A57" s="11" t="s">
        <v>111</v>
      </c>
      <c r="B57" s="11" t="s">
        <v>112</v>
      </c>
      <c r="C57" s="11" t="s">
        <v>113</v>
      </c>
      <c r="D57" s="11" t="s">
        <v>114</v>
      </c>
      <c r="E57" s="11" t="s">
        <v>115</v>
      </c>
    </row>
    <row r="58" spans="1:5" x14ac:dyDescent="0.25">
      <c r="A58" s="12" t="s">
        <v>116</v>
      </c>
      <c r="B58" s="13" t="s">
        <v>117</v>
      </c>
      <c r="C58" s="14" t="s">
        <v>118</v>
      </c>
      <c r="D58" s="13" t="s">
        <v>119</v>
      </c>
      <c r="E58" s="13" t="s">
        <v>120</v>
      </c>
    </row>
    <row r="59" spans="1:5" x14ac:dyDescent="0.25">
      <c r="A59" s="12" t="s">
        <v>121</v>
      </c>
      <c r="B59" s="13" t="s">
        <v>122</v>
      </c>
      <c r="C59" s="14" t="s">
        <v>123</v>
      </c>
      <c r="D59" s="13" t="s">
        <v>124</v>
      </c>
      <c r="E59" s="13" t="s">
        <v>125</v>
      </c>
    </row>
    <row r="60" spans="1:5" x14ac:dyDescent="0.25">
      <c r="A60" s="12" t="s">
        <v>126</v>
      </c>
      <c r="B60" s="13" t="s">
        <v>127</v>
      </c>
      <c r="C60" s="14" t="s">
        <v>128</v>
      </c>
      <c r="D60" s="13" t="s">
        <v>129</v>
      </c>
      <c r="E60" s="13" t="s">
        <v>130</v>
      </c>
    </row>
    <row r="61" spans="1:5" x14ac:dyDescent="0.25">
      <c r="A61" s="12" t="s">
        <v>131</v>
      </c>
      <c r="B61" s="13" t="s">
        <v>132</v>
      </c>
      <c r="C61" s="14" t="s">
        <v>133</v>
      </c>
      <c r="D61" s="13" t="s">
        <v>134</v>
      </c>
      <c r="E61" s="13" t="s">
        <v>120</v>
      </c>
    </row>
    <row r="62" spans="1:5" ht="25.5" x14ac:dyDescent="0.25">
      <c r="A62" s="12" t="s">
        <v>135</v>
      </c>
      <c r="B62" s="13" t="s">
        <v>136</v>
      </c>
      <c r="C62" s="14" t="s">
        <v>137</v>
      </c>
      <c r="D62" s="13" t="s">
        <v>138</v>
      </c>
      <c r="E62" s="13" t="s">
        <v>139</v>
      </c>
    </row>
    <row r="63" spans="1:5" x14ac:dyDescent="0.25">
      <c r="A63" s="12" t="s">
        <v>140</v>
      </c>
      <c r="B63" s="13" t="s">
        <v>141</v>
      </c>
      <c r="C63" s="14" t="s">
        <v>142</v>
      </c>
      <c r="D63" s="13" t="s">
        <v>143</v>
      </c>
      <c r="E63" s="13" t="s">
        <v>120</v>
      </c>
    </row>
    <row r="64" spans="1:5" ht="25.5" x14ac:dyDescent="0.25">
      <c r="A64" s="12" t="s">
        <v>144</v>
      </c>
      <c r="B64" s="13" t="s">
        <v>145</v>
      </c>
      <c r="C64" s="14" t="s">
        <v>146</v>
      </c>
      <c r="D64" s="13" t="s">
        <v>147</v>
      </c>
      <c r="E64" s="13" t="s">
        <v>139</v>
      </c>
    </row>
    <row r="65" spans="1:5" x14ac:dyDescent="0.25">
      <c r="A65" s="12" t="s">
        <v>148</v>
      </c>
      <c r="B65" s="13" t="s">
        <v>149</v>
      </c>
      <c r="C65" s="14" t="s">
        <v>150</v>
      </c>
      <c r="D65" s="13" t="s">
        <v>151</v>
      </c>
      <c r="E65" s="13" t="s">
        <v>120</v>
      </c>
    </row>
    <row r="66" spans="1:5" ht="27.75" customHeight="1" x14ac:dyDescent="0.25">
      <c r="A66" s="12" t="s">
        <v>152</v>
      </c>
      <c r="B66" s="13" t="s">
        <v>153</v>
      </c>
      <c r="C66" s="14" t="s">
        <v>154</v>
      </c>
      <c r="D66" s="13" t="s">
        <v>155</v>
      </c>
      <c r="E66" s="13" t="s">
        <v>156</v>
      </c>
    </row>
    <row r="67" spans="1:5" x14ac:dyDescent="0.25">
      <c r="A67" s="12" t="s">
        <v>157</v>
      </c>
      <c r="B67" s="13" t="s">
        <v>158</v>
      </c>
      <c r="C67" s="14" t="s">
        <v>159</v>
      </c>
      <c r="D67" s="13" t="s">
        <v>160</v>
      </c>
      <c r="E67" s="13" t="s">
        <v>156</v>
      </c>
    </row>
    <row r="68" spans="1:5" ht="25.5" x14ac:dyDescent="0.25">
      <c r="A68" s="12" t="s">
        <v>161</v>
      </c>
      <c r="B68" s="13" t="s">
        <v>162</v>
      </c>
      <c r="C68" s="14" t="s">
        <v>163</v>
      </c>
      <c r="D68" s="13" t="s">
        <v>164</v>
      </c>
      <c r="E68" s="13" t="s">
        <v>165</v>
      </c>
    </row>
    <row r="69" spans="1:5" ht="25.5" x14ac:dyDescent="0.25">
      <c r="A69" s="12" t="s">
        <v>166</v>
      </c>
      <c r="B69" s="13" t="s">
        <v>167</v>
      </c>
      <c r="C69" s="14" t="s">
        <v>168</v>
      </c>
      <c r="D69" s="13" t="s">
        <v>169</v>
      </c>
      <c r="E69" s="13" t="s">
        <v>165</v>
      </c>
    </row>
    <row r="70" spans="1:5" x14ac:dyDescent="0.25">
      <c r="A70" s="12" t="s">
        <v>170</v>
      </c>
      <c r="B70" s="13" t="s">
        <v>171</v>
      </c>
      <c r="C70" s="14" t="s">
        <v>172</v>
      </c>
      <c r="D70" s="13" t="s">
        <v>173</v>
      </c>
      <c r="E70" s="13" t="s">
        <v>174</v>
      </c>
    </row>
    <row r="71" spans="1:5" x14ac:dyDescent="0.25">
      <c r="A71" s="12" t="s">
        <v>175</v>
      </c>
      <c r="B71" s="13" t="s">
        <v>176</v>
      </c>
      <c r="C71" s="14" t="s">
        <v>177</v>
      </c>
      <c r="D71" s="13" t="s">
        <v>178</v>
      </c>
      <c r="E71" s="13" t="s">
        <v>174</v>
      </c>
    </row>
    <row r="72" spans="1:5" ht="25.5" x14ac:dyDescent="0.25">
      <c r="A72" s="12" t="s">
        <v>179</v>
      </c>
      <c r="B72" s="13" t="s">
        <v>180</v>
      </c>
      <c r="C72" s="14" t="s">
        <v>181</v>
      </c>
      <c r="D72" s="13" t="s">
        <v>182</v>
      </c>
      <c r="E72" s="13" t="s">
        <v>183</v>
      </c>
    </row>
    <row r="73" spans="1:5" x14ac:dyDescent="0.25">
      <c r="A73" s="12" t="s">
        <v>184</v>
      </c>
      <c r="B73" s="13" t="s">
        <v>185</v>
      </c>
      <c r="C73" s="14" t="s">
        <v>186</v>
      </c>
      <c r="D73" s="13" t="s">
        <v>187</v>
      </c>
      <c r="E73" s="13" t="s">
        <v>188</v>
      </c>
    </row>
    <row r="74" spans="1:5" ht="31.5" customHeight="1" x14ac:dyDescent="0.25">
      <c r="A74" s="52" t="s">
        <v>189</v>
      </c>
      <c r="B74" s="52"/>
      <c r="C74" s="52"/>
      <c r="D74" s="52"/>
      <c r="E74" s="52"/>
    </row>
    <row r="76" spans="1:5" x14ac:dyDescent="0.25">
      <c r="A76" s="51" t="s">
        <v>190</v>
      </c>
      <c r="B76" s="51"/>
      <c r="C76" s="51"/>
      <c r="D76" s="51"/>
      <c r="E76" s="51"/>
    </row>
    <row r="77" spans="1:5" ht="18" customHeight="1" x14ac:dyDescent="0.25">
      <c r="A77" s="52" t="s">
        <v>191</v>
      </c>
      <c r="B77" s="52"/>
      <c r="C77" s="52"/>
      <c r="D77" s="52"/>
      <c r="E77" s="52"/>
    </row>
    <row r="78" spans="1:5" ht="18" customHeight="1" x14ac:dyDescent="0.25">
      <c r="A78" s="52" t="s">
        <v>192</v>
      </c>
      <c r="B78" s="52"/>
      <c r="C78" s="52"/>
      <c r="D78" s="52"/>
      <c r="E78" s="52"/>
    </row>
    <row r="79" spans="1:5" ht="18" customHeight="1" x14ac:dyDescent="0.25">
      <c r="A79" s="52" t="s">
        <v>193</v>
      </c>
      <c r="B79" s="52"/>
      <c r="C79" s="52"/>
      <c r="D79" s="52"/>
      <c r="E79" s="52"/>
    </row>
    <row r="80" spans="1:5" ht="18" customHeight="1" x14ac:dyDescent="0.25">
      <c r="A80" s="52" t="s">
        <v>194</v>
      </c>
      <c r="B80" s="52"/>
      <c r="C80" s="52"/>
      <c r="D80" s="52"/>
      <c r="E80" s="52"/>
    </row>
    <row r="81" spans="1:5" ht="18" customHeight="1" x14ac:dyDescent="0.25">
      <c r="A81" s="52" t="s">
        <v>195</v>
      </c>
      <c r="B81" s="52"/>
      <c r="C81" s="52"/>
      <c r="D81" s="52"/>
      <c r="E81" s="52"/>
    </row>
    <row r="82" spans="1:5" ht="18" customHeight="1" x14ac:dyDescent="0.25">
      <c r="A82" s="52" t="s">
        <v>196</v>
      </c>
      <c r="B82" s="52"/>
      <c r="C82" s="52"/>
      <c r="D82" s="52"/>
      <c r="E82" s="52"/>
    </row>
    <row r="84" spans="1:5" x14ac:dyDescent="0.25">
      <c r="A84" s="51" t="s">
        <v>197</v>
      </c>
      <c r="B84" s="51"/>
      <c r="C84" s="51"/>
      <c r="D84" s="51"/>
      <c r="E84" s="51"/>
    </row>
    <row r="85" spans="1:5" x14ac:dyDescent="0.25">
      <c r="A85" s="11"/>
      <c r="B85" s="11" t="s">
        <v>198</v>
      </c>
      <c r="C85" s="11" t="s">
        <v>199</v>
      </c>
      <c r="D85" s="11" t="s">
        <v>200</v>
      </c>
    </row>
    <row r="86" spans="1:5" ht="27.75" customHeight="1" x14ac:dyDescent="0.25">
      <c r="B86" s="15" t="s">
        <v>201</v>
      </c>
      <c r="C86" s="16">
        <v>17024.900000000001</v>
      </c>
      <c r="D86" s="2" t="s">
        <v>202</v>
      </c>
    </row>
    <row r="87" spans="1:5" ht="27.75" customHeight="1" x14ac:dyDescent="0.25">
      <c r="B87" s="15" t="s">
        <v>203</v>
      </c>
      <c r="C87" s="16">
        <v>18320</v>
      </c>
      <c r="D87" s="2" t="s">
        <v>204</v>
      </c>
    </row>
    <row r="88" spans="1:5" ht="27.75" customHeight="1" x14ac:dyDescent="0.25">
      <c r="B88" s="15" t="s">
        <v>205</v>
      </c>
      <c r="C88" s="17">
        <f>C87-C86</f>
        <v>1295.0999999999985</v>
      </c>
      <c r="D88" s="2" t="s">
        <v>206</v>
      </c>
    </row>
    <row r="89" spans="1:5" ht="27.75" customHeight="1" x14ac:dyDescent="0.25">
      <c r="B89" s="15" t="s">
        <v>207</v>
      </c>
      <c r="C89" s="18">
        <f>Daily_Plan!G41</f>
        <v>17024.880000000008</v>
      </c>
      <c r="D89" s="2" t="s">
        <v>208</v>
      </c>
    </row>
    <row r="90" spans="1:5" ht="27.75" customHeight="1" x14ac:dyDescent="0.25">
      <c r="B90" s="15" t="s">
        <v>209</v>
      </c>
      <c r="C90" s="17">
        <f>C87-C89</f>
        <v>1295.1199999999917</v>
      </c>
      <c r="D90" s="2" t="s">
        <v>210</v>
      </c>
    </row>
    <row r="91" spans="1:5" ht="43.5" customHeight="1" x14ac:dyDescent="0.25">
      <c r="A91" s="52" t="s">
        <v>211</v>
      </c>
      <c r="B91" s="52"/>
      <c r="C91" s="52"/>
      <c r="D91" s="52"/>
      <c r="E91" s="52"/>
    </row>
  </sheetData>
  <mergeCells count="26">
    <mergeCell ref="A91:E91"/>
    <mergeCell ref="A79:E79"/>
    <mergeCell ref="A80:E80"/>
    <mergeCell ref="A81:E81"/>
    <mergeCell ref="A82:E82"/>
    <mergeCell ref="A84:E84"/>
    <mergeCell ref="A56:E56"/>
    <mergeCell ref="A74:E74"/>
    <mergeCell ref="A76:E76"/>
    <mergeCell ref="A77:E77"/>
    <mergeCell ref="A78:E78"/>
    <mergeCell ref="A33:E33"/>
    <mergeCell ref="A35:E35"/>
    <mergeCell ref="A47:E47"/>
    <mergeCell ref="A48:E48"/>
    <mergeCell ref="A54:E54"/>
    <mergeCell ref="B10:E10"/>
    <mergeCell ref="B11:E11"/>
    <mergeCell ref="A13:E13"/>
    <mergeCell ref="A20:E20"/>
    <mergeCell ref="A27:E27"/>
    <mergeCell ref="A5:E5"/>
    <mergeCell ref="A6:E6"/>
    <mergeCell ref="B7:E7"/>
    <mergeCell ref="B8:E8"/>
    <mergeCell ref="B9:E9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"/>
  <sheetViews>
    <sheetView showGridLines="0" tabSelected="1" zoomScaleNormal="100" workbookViewId="0">
      <pane xSplit="3" ySplit="4" topLeftCell="M5" activePane="bottomRight" state="frozen"/>
      <selection pane="topRight" activeCell="D1" sqref="D1"/>
      <selection pane="bottomLeft" activeCell="A5" sqref="A5"/>
      <selection pane="bottomRight" activeCell="AE3" sqref="AE3:AI3"/>
    </sheetView>
  </sheetViews>
  <sheetFormatPr defaultColWidth="8.7109375" defaultRowHeight="15" customHeight="1" x14ac:dyDescent="0.25"/>
  <cols>
    <col min="1" max="1" width="6" customWidth="1"/>
    <col min="2" max="2" width="10" customWidth="1"/>
    <col min="3" max="3" width="8" customWidth="1"/>
    <col min="4" max="6" width="10.5703125" customWidth="1"/>
    <col min="7" max="7" width="12" customWidth="1"/>
    <col min="8" max="35" width="10.5703125" customWidth="1"/>
  </cols>
  <sheetData>
    <row r="1" spans="1:35" ht="18" x14ac:dyDescent="0.25">
      <c r="A1" s="3" t="s">
        <v>212</v>
      </c>
    </row>
    <row r="2" spans="1:35" x14ac:dyDescent="0.25">
      <c r="A2" s="4" t="s">
        <v>213</v>
      </c>
    </row>
    <row r="3" spans="1:35" x14ac:dyDescent="0.25">
      <c r="D3" s="56" t="s">
        <v>214</v>
      </c>
      <c r="E3" s="56"/>
      <c r="F3" s="56"/>
      <c r="G3" s="56"/>
      <c r="H3" s="56"/>
      <c r="I3" s="56"/>
      <c r="J3" s="56" t="s">
        <v>215</v>
      </c>
      <c r="K3" s="56"/>
      <c r="L3" s="56"/>
      <c r="M3" s="56"/>
      <c r="N3" s="56"/>
      <c r="O3" s="56"/>
      <c r="P3" s="56"/>
      <c r="Q3" s="56" t="s">
        <v>216</v>
      </c>
      <c r="R3" s="56"/>
      <c r="S3" s="56" t="s">
        <v>217</v>
      </c>
      <c r="T3" s="56"/>
      <c r="U3" s="56"/>
      <c r="V3" s="56"/>
      <c r="W3" s="1" t="s">
        <v>218</v>
      </c>
      <c r="X3" s="56" t="s">
        <v>219</v>
      </c>
      <c r="Y3" s="56"/>
      <c r="Z3" s="56"/>
      <c r="AA3" s="56"/>
      <c r="AB3" s="56"/>
      <c r="AC3" s="56"/>
      <c r="AD3" s="1" t="s">
        <v>220</v>
      </c>
      <c r="AE3" s="56" t="s">
        <v>221</v>
      </c>
      <c r="AF3" s="56"/>
      <c r="AG3" s="56"/>
      <c r="AH3" s="56"/>
      <c r="AI3" s="56"/>
    </row>
    <row r="4" spans="1:35" ht="43.5" customHeight="1" x14ac:dyDescent="0.25">
      <c r="A4" s="19" t="s">
        <v>222</v>
      </c>
      <c r="B4" s="19" t="s">
        <v>223</v>
      </c>
      <c r="C4" s="19" t="s">
        <v>224</v>
      </c>
      <c r="D4" s="19" t="s">
        <v>225</v>
      </c>
      <c r="E4" s="19" t="s">
        <v>226</v>
      </c>
      <c r="F4" s="19" t="s">
        <v>227</v>
      </c>
      <c r="G4" s="19" t="s">
        <v>228</v>
      </c>
      <c r="H4" s="19" t="s">
        <v>229</v>
      </c>
      <c r="I4" s="19" t="s">
        <v>230</v>
      </c>
      <c r="J4" s="19" t="s">
        <v>231</v>
      </c>
      <c r="K4" s="19" t="s">
        <v>232</v>
      </c>
      <c r="L4" s="19" t="s">
        <v>233</v>
      </c>
      <c r="M4" s="19" t="s">
        <v>234</v>
      </c>
      <c r="N4" s="19" t="s">
        <v>235</v>
      </c>
      <c r="O4" s="19" t="s">
        <v>236</v>
      </c>
      <c r="P4" s="19" t="s">
        <v>237</v>
      </c>
      <c r="Q4" s="19" t="s">
        <v>238</v>
      </c>
      <c r="R4" s="19" t="s">
        <v>239</v>
      </c>
      <c r="S4" s="19" t="s">
        <v>240</v>
      </c>
      <c r="T4" s="19" t="s">
        <v>241</v>
      </c>
      <c r="U4" s="19" t="s">
        <v>242</v>
      </c>
      <c r="V4" s="19" t="s">
        <v>243</v>
      </c>
      <c r="W4" s="19" t="s">
        <v>244</v>
      </c>
      <c r="X4" s="19" t="s">
        <v>245</v>
      </c>
      <c r="Y4" s="19" t="s">
        <v>246</v>
      </c>
      <c r="Z4" s="19" t="s">
        <v>247</v>
      </c>
      <c r="AA4" s="19" t="s">
        <v>248</v>
      </c>
      <c r="AB4" s="19" t="s">
        <v>249</v>
      </c>
      <c r="AC4" s="19" t="s">
        <v>250</v>
      </c>
      <c r="AD4" s="19" t="s">
        <v>251</v>
      </c>
      <c r="AE4" s="19" t="s">
        <v>252</v>
      </c>
      <c r="AF4" s="19" t="s">
        <v>100</v>
      </c>
      <c r="AG4" s="19" t="s">
        <v>103</v>
      </c>
      <c r="AH4" s="19" t="s">
        <v>253</v>
      </c>
      <c r="AI4" s="19" t="s">
        <v>254</v>
      </c>
    </row>
    <row r="5" spans="1:35" x14ac:dyDescent="0.25">
      <c r="A5" s="9">
        <v>1</v>
      </c>
      <c r="B5" s="20">
        <v>46296</v>
      </c>
      <c r="C5" s="21" t="s">
        <v>255</v>
      </c>
      <c r="D5" s="22">
        <v>40</v>
      </c>
      <c r="E5" s="22">
        <v>40</v>
      </c>
      <c r="F5" s="22">
        <v>40</v>
      </c>
      <c r="G5" s="22">
        <v>30</v>
      </c>
      <c r="H5" s="22">
        <v>22</v>
      </c>
      <c r="I5" s="22">
        <v>32</v>
      </c>
      <c r="J5" s="23">
        <f t="shared" ref="J5:J35" si="0">SUM(D5:G5)</f>
        <v>150</v>
      </c>
      <c r="K5" s="23">
        <f>SUMPRODUCT($D5:$G5,Crude_Data!$C$5:$F$5)</f>
        <v>3.8000000000000003</v>
      </c>
      <c r="L5" s="23">
        <f>SUMPRODUCT($D5:$G5,Crude_Data!$C$6:$F$6)</f>
        <v>31.599999999999998</v>
      </c>
      <c r="M5" s="23">
        <f>SUMPRODUCT($D5:$G5,Crude_Data!$C$7:$F$7)</f>
        <v>23.3</v>
      </c>
      <c r="N5" s="23">
        <f>SUMPRODUCT($D5:$G5,Crude_Data!$C$8:$F$8)</f>
        <v>38.4</v>
      </c>
      <c r="O5" s="23">
        <f>SUMPRODUCT($D5:$G5,Crude_Data!$C$9:$F$9)</f>
        <v>51.400000000000006</v>
      </c>
      <c r="P5" s="24">
        <f>IF(O5&gt;0,SUMPRODUCT($D5:$G5,Crude_Data!$C$9:$F$9,Crude_Data!$C$12:$F$12)/O5,0)</f>
        <v>1.461089494163424</v>
      </c>
      <c r="Q5" s="23">
        <f>H5*Unit_Data!$D$11</f>
        <v>18.48</v>
      </c>
      <c r="R5" s="23">
        <f>H5*Unit_Data!$D$12</f>
        <v>1.76</v>
      </c>
      <c r="S5" s="23">
        <f>I5*Unit_Data!$D$17</f>
        <v>16.64</v>
      </c>
      <c r="T5" s="23">
        <f>I5*Unit_Data!$D$18</f>
        <v>5.76</v>
      </c>
      <c r="U5" s="23">
        <f>I5*Unit_Data!$D$19</f>
        <v>5.76</v>
      </c>
      <c r="V5" s="23">
        <f>I5*Unit_Data!$D$20</f>
        <v>1.92</v>
      </c>
      <c r="W5" s="23">
        <f t="shared" ref="W5:W35" si="1">N5+U5</f>
        <v>44.16</v>
      </c>
      <c r="X5" s="23">
        <f t="shared" ref="X5:X35" si="2">K5+R5+T5</f>
        <v>11.32</v>
      </c>
      <c r="Y5" s="23">
        <f>L5-H5</f>
        <v>9.5999999999999979</v>
      </c>
      <c r="Z5" s="23">
        <f>Q5+S5</f>
        <v>35.120000000000005</v>
      </c>
      <c r="AA5" s="23">
        <f t="shared" ref="AA5:AA35" si="3">M5</f>
        <v>23.3</v>
      </c>
      <c r="AB5" s="23">
        <f>W5*Unit_Data!$D$25</f>
        <v>43.276799999999994</v>
      </c>
      <c r="AC5" s="23">
        <f t="shared" ref="AC5:AC35" si="4">O5-I5+V5</f>
        <v>21.320000000000007</v>
      </c>
      <c r="AD5" s="23">
        <f>IF(Z5&gt;0,(Q5*Unit_Data!$D$26+S5*Unit_Data!$D$27)/Z5,0)</f>
        <v>95.157175398633242</v>
      </c>
      <c r="AE5" s="25">
        <f>SUMPRODUCT(X5:AC5,Product_Data!$C$4:$H$4)</f>
        <v>13345.484</v>
      </c>
      <c r="AF5" s="25">
        <f>SUMPRODUCT(D5:G5,Crude_Data!$C$4:$F$4)</f>
        <v>12095</v>
      </c>
      <c r="AG5" s="25">
        <f>J5*Unit_Data!$D$7+H5*Unit_Data!$D$10+I5*Unit_Data!$D$16+W5*Unit_Data!$D$24</f>
        <v>399.24</v>
      </c>
      <c r="AH5" s="25">
        <f t="shared" ref="AH5:AH35" si="5">AE5-AF5-AG5</f>
        <v>851.24400000000037</v>
      </c>
      <c r="AI5" s="24">
        <f t="shared" ref="AI5:AI36" si="6">IF(J5&gt;0,AH5/J5,0)</f>
        <v>5.6749600000000022</v>
      </c>
    </row>
    <row r="6" spans="1:35" x14ac:dyDescent="0.25">
      <c r="A6" s="9">
        <v>2</v>
      </c>
      <c r="B6" s="20">
        <v>46297</v>
      </c>
      <c r="C6" s="21" t="s">
        <v>255</v>
      </c>
      <c r="D6" s="22">
        <v>40</v>
      </c>
      <c r="E6" s="22">
        <v>40</v>
      </c>
      <c r="F6" s="22">
        <v>40</v>
      </c>
      <c r="G6" s="22">
        <v>30</v>
      </c>
      <c r="H6" s="22">
        <v>22</v>
      </c>
      <c r="I6" s="22">
        <v>32</v>
      </c>
      <c r="J6" s="23">
        <f t="shared" si="0"/>
        <v>150</v>
      </c>
      <c r="K6" s="23">
        <f>SUMPRODUCT($D6:$G6,Crude_Data!$C$5:$F$5)</f>
        <v>3.8000000000000003</v>
      </c>
      <c r="L6" s="23">
        <f>SUMPRODUCT($D6:$G6,Crude_Data!$C$6:$F$6)</f>
        <v>31.599999999999998</v>
      </c>
      <c r="M6" s="23">
        <f>SUMPRODUCT($D6:$G6,Crude_Data!$C$7:$F$7)</f>
        <v>23.3</v>
      </c>
      <c r="N6" s="23">
        <f>SUMPRODUCT($D6:$G6,Crude_Data!$C$8:$F$8)</f>
        <v>38.4</v>
      </c>
      <c r="O6" s="23">
        <f>SUMPRODUCT($D6:$G6,Crude_Data!$C$9:$F$9)</f>
        <v>51.400000000000006</v>
      </c>
      <c r="P6" s="24">
        <f>IF(O6&gt;0,SUMPRODUCT($D6:$G6,Crude_Data!$C$9:$F$9,Crude_Data!$C$12:$F$12)/O6,0)</f>
        <v>1.461089494163424</v>
      </c>
      <c r="Q6" s="23">
        <f>H6*Unit_Data!$D$11</f>
        <v>18.48</v>
      </c>
      <c r="R6" s="23">
        <f>H6*Unit_Data!$D$12</f>
        <v>1.76</v>
      </c>
      <c r="S6" s="23">
        <f>I6*Unit_Data!$D$17</f>
        <v>16.64</v>
      </c>
      <c r="T6" s="23">
        <f>I6*Unit_Data!$D$18</f>
        <v>5.76</v>
      </c>
      <c r="U6" s="23">
        <f>I6*Unit_Data!$D$19</f>
        <v>5.76</v>
      </c>
      <c r="V6" s="23">
        <f>I6*Unit_Data!$D$20</f>
        <v>1.92</v>
      </c>
      <c r="W6" s="23">
        <f t="shared" si="1"/>
        <v>44.16</v>
      </c>
      <c r="X6" s="23">
        <f t="shared" si="2"/>
        <v>11.32</v>
      </c>
      <c r="Y6" s="23">
        <f t="shared" ref="Y5:Y35" si="7">L6-H6</f>
        <v>9.5999999999999979</v>
      </c>
      <c r="Z6" s="23">
        <f t="shared" ref="Z5:Z35" si="8">Q6+S6</f>
        <v>35.120000000000005</v>
      </c>
      <c r="AA6" s="23">
        <f t="shared" si="3"/>
        <v>23.3</v>
      </c>
      <c r="AB6" s="23">
        <f>W6*Unit_Data!$D$25</f>
        <v>43.276799999999994</v>
      </c>
      <c r="AC6" s="23">
        <f t="shared" si="4"/>
        <v>21.320000000000007</v>
      </c>
      <c r="AD6" s="23">
        <f>IF(Z6&gt;0,(Q6*Unit_Data!$D$26+S6*Unit_Data!$D$27)/Z6,0)</f>
        <v>95.157175398633242</v>
      </c>
      <c r="AE6" s="25">
        <f>SUMPRODUCT(X6:AC6,Product_Data!$C$4:$H$4)</f>
        <v>13345.484</v>
      </c>
      <c r="AF6" s="25">
        <f>SUMPRODUCT(D6:G6,Crude_Data!$C$4:$F$4)</f>
        <v>12095</v>
      </c>
      <c r="AG6" s="25">
        <f>J6*Unit_Data!$D$7+H6*Unit_Data!$D$10+I6*Unit_Data!$D$16+W6*Unit_Data!$D$24</f>
        <v>399.24</v>
      </c>
      <c r="AH6" s="25">
        <f t="shared" si="5"/>
        <v>851.24400000000037</v>
      </c>
      <c r="AI6" s="24">
        <f t="shared" si="6"/>
        <v>5.6749600000000022</v>
      </c>
    </row>
    <row r="7" spans="1:35" x14ac:dyDescent="0.25">
      <c r="A7" s="9">
        <v>3</v>
      </c>
      <c r="B7" s="20">
        <v>46298</v>
      </c>
      <c r="C7" s="21" t="s">
        <v>255</v>
      </c>
      <c r="D7" s="22">
        <v>41</v>
      </c>
      <c r="E7" s="22">
        <v>38</v>
      </c>
      <c r="F7" s="22">
        <v>41</v>
      </c>
      <c r="G7" s="22">
        <v>30</v>
      </c>
      <c r="H7" s="22">
        <v>23</v>
      </c>
      <c r="I7" s="22">
        <v>33</v>
      </c>
      <c r="J7" s="23">
        <f t="shared" si="0"/>
        <v>150</v>
      </c>
      <c r="K7" s="23">
        <f>SUMPRODUCT($D7:$G7,Crude_Data!$C$5:$F$5)</f>
        <v>3.79</v>
      </c>
      <c r="L7" s="23">
        <f>SUMPRODUCT($D7:$G7,Crude_Data!$C$6:$F$6)</f>
        <v>31.52</v>
      </c>
      <c r="M7" s="23">
        <f>SUMPRODUCT($D7:$G7,Crude_Data!$C$7:$F$7)</f>
        <v>23.29</v>
      </c>
      <c r="N7" s="23">
        <f>SUMPRODUCT($D7:$G7,Crude_Data!$C$8:$F$8)</f>
        <v>38.46</v>
      </c>
      <c r="O7" s="23">
        <f>SUMPRODUCT($D7:$G7,Crude_Data!$C$9:$F$9)</f>
        <v>51.44</v>
      </c>
      <c r="P7" s="24">
        <f>IF(O7&gt;0,SUMPRODUCT($D7:$G7,Crude_Data!$C$9:$F$9,Crude_Data!$C$12:$F$12)/O7,0)</f>
        <v>1.469799766718507</v>
      </c>
      <c r="Q7" s="23">
        <f>H7*Unit_Data!$D$11</f>
        <v>19.32</v>
      </c>
      <c r="R7" s="23">
        <f>H7*Unit_Data!$D$12</f>
        <v>1.84</v>
      </c>
      <c r="S7" s="23">
        <f>I7*Unit_Data!$D$17</f>
        <v>17.16</v>
      </c>
      <c r="T7" s="23">
        <f>I7*Unit_Data!$D$18</f>
        <v>5.9399999999999995</v>
      </c>
      <c r="U7" s="23">
        <f>I7*Unit_Data!$D$19</f>
        <v>5.9399999999999995</v>
      </c>
      <c r="V7" s="23">
        <f>I7*Unit_Data!$D$20</f>
        <v>1.98</v>
      </c>
      <c r="W7" s="23">
        <f t="shared" si="1"/>
        <v>44.4</v>
      </c>
      <c r="X7" s="23">
        <f t="shared" si="2"/>
        <v>11.57</v>
      </c>
      <c r="Y7" s="23">
        <f t="shared" si="7"/>
        <v>8.52</v>
      </c>
      <c r="Z7" s="23">
        <f t="shared" si="8"/>
        <v>36.480000000000004</v>
      </c>
      <c r="AA7" s="23">
        <f t="shared" si="3"/>
        <v>23.29</v>
      </c>
      <c r="AB7" s="23">
        <f>W7*Unit_Data!$D$25</f>
        <v>43.512</v>
      </c>
      <c r="AC7" s="23">
        <f t="shared" si="4"/>
        <v>20.419999999999998</v>
      </c>
      <c r="AD7" s="23">
        <f>IF(Z7&gt;0,(Q7*Unit_Data!$D$26+S7*Unit_Data!$D$27)/Z7,0)</f>
        <v>95.177631578947356</v>
      </c>
      <c r="AE7" s="25">
        <f>SUMPRODUCT(X7:AC7,Product_Data!$C$4:$H$4)</f>
        <v>13374.070000000002</v>
      </c>
      <c r="AF7" s="25">
        <f>SUMPRODUCT(D7:G7,Crude_Data!$C$4:$F$4)</f>
        <v>12094</v>
      </c>
      <c r="AG7" s="25">
        <f>J7*Unit_Data!$D$7+H7*Unit_Data!$D$10+I7*Unit_Data!$D$16+W7*Unit_Data!$D$24</f>
        <v>406.1</v>
      </c>
      <c r="AH7" s="25">
        <f t="shared" si="5"/>
        <v>873.97000000000151</v>
      </c>
      <c r="AI7" s="24">
        <f t="shared" si="6"/>
        <v>5.8264666666666765</v>
      </c>
    </row>
    <row r="8" spans="1:35" x14ac:dyDescent="0.25">
      <c r="A8" s="9">
        <v>4</v>
      </c>
      <c r="B8" s="20">
        <v>46299</v>
      </c>
      <c r="C8" s="21" t="s">
        <v>255</v>
      </c>
      <c r="D8" s="22">
        <v>39</v>
      </c>
      <c r="E8" s="22">
        <v>36</v>
      </c>
      <c r="F8" s="22">
        <v>39</v>
      </c>
      <c r="G8" s="22">
        <v>28</v>
      </c>
      <c r="H8" s="22">
        <v>21</v>
      </c>
      <c r="I8" s="22">
        <v>30</v>
      </c>
      <c r="J8" s="23">
        <f t="shared" si="0"/>
        <v>142</v>
      </c>
      <c r="K8" s="23">
        <f>SUMPRODUCT($D8:$G8,Crude_Data!$C$5:$F$5)</f>
        <v>3.5900000000000003</v>
      </c>
      <c r="L8" s="23">
        <f>SUMPRODUCT($D8:$G8,Crude_Data!$C$6:$F$6)</f>
        <v>29.840000000000003</v>
      </c>
      <c r="M8" s="23">
        <f>SUMPRODUCT($D8:$G8,Crude_Data!$C$7:$F$7)</f>
        <v>22.05</v>
      </c>
      <c r="N8" s="23">
        <f>SUMPRODUCT($D8:$G8,Crude_Data!$C$8:$F$8)</f>
        <v>36.380000000000003</v>
      </c>
      <c r="O8" s="23">
        <f>SUMPRODUCT($D8:$G8,Crude_Data!$C$9:$F$9)</f>
        <v>48.72</v>
      </c>
      <c r="P8" s="24">
        <f>IF(O8&gt;0,SUMPRODUCT($D8:$G8,Crude_Data!$C$9:$F$9,Crude_Data!$C$12:$F$12)/O8,0)</f>
        <v>1.4741687192118229</v>
      </c>
      <c r="Q8" s="23">
        <f>H8*Unit_Data!$D$11</f>
        <v>17.64</v>
      </c>
      <c r="R8" s="23">
        <f>H8*Unit_Data!$D$12</f>
        <v>1.68</v>
      </c>
      <c r="S8" s="23">
        <f>I8*Unit_Data!$D$17</f>
        <v>15.600000000000001</v>
      </c>
      <c r="T8" s="23">
        <f>I8*Unit_Data!$D$18</f>
        <v>5.3999999999999995</v>
      </c>
      <c r="U8" s="23">
        <f>I8*Unit_Data!$D$19</f>
        <v>5.3999999999999995</v>
      </c>
      <c r="V8" s="23">
        <f>I8*Unit_Data!$D$20</f>
        <v>1.7999999999999998</v>
      </c>
      <c r="W8" s="23">
        <f t="shared" si="1"/>
        <v>41.78</v>
      </c>
      <c r="X8" s="23">
        <f t="shared" si="2"/>
        <v>10.67</v>
      </c>
      <c r="Y8" s="23">
        <f t="shared" si="7"/>
        <v>8.8400000000000034</v>
      </c>
      <c r="Z8" s="23">
        <f t="shared" si="8"/>
        <v>33.24</v>
      </c>
      <c r="AA8" s="23">
        <f t="shared" si="3"/>
        <v>22.05</v>
      </c>
      <c r="AB8" s="23">
        <f>W8*Unit_Data!$D$25</f>
        <v>40.944400000000002</v>
      </c>
      <c r="AC8" s="23">
        <f t="shared" si="4"/>
        <v>20.52</v>
      </c>
      <c r="AD8" s="23">
        <f>IF(Z8&gt;0,(Q8*Unit_Data!$D$26+S8*Unit_Data!$D$27)/Z8,0)</f>
        <v>95.184115523465707</v>
      </c>
      <c r="AE8" s="25">
        <f>SUMPRODUCT(X8:AC8,Product_Data!$C$4:$H$4)</f>
        <v>12632.872000000001</v>
      </c>
      <c r="AF8" s="25">
        <f>SUMPRODUCT(D8:G8,Crude_Data!$C$4:$F$4)</f>
        <v>11448</v>
      </c>
      <c r="AG8" s="25">
        <f>J8*Unit_Data!$D$7+H8*Unit_Data!$D$10+I8*Unit_Data!$D$16+W8*Unit_Data!$D$24</f>
        <v>377.17</v>
      </c>
      <c r="AH8" s="25">
        <f t="shared" si="5"/>
        <v>807.70200000000114</v>
      </c>
      <c r="AI8" s="24">
        <f t="shared" si="6"/>
        <v>5.688042253521135</v>
      </c>
    </row>
    <row r="9" spans="1:35" x14ac:dyDescent="0.25">
      <c r="A9" s="9">
        <v>5</v>
      </c>
      <c r="B9" s="20">
        <v>46300</v>
      </c>
      <c r="C9" s="21" t="s">
        <v>255</v>
      </c>
      <c r="D9" s="22">
        <v>35</v>
      </c>
      <c r="E9" s="22">
        <v>34</v>
      </c>
      <c r="F9" s="22">
        <v>37</v>
      </c>
      <c r="G9" s="22">
        <v>26</v>
      </c>
      <c r="H9" s="22">
        <v>19</v>
      </c>
      <c r="I9" s="22">
        <v>28</v>
      </c>
      <c r="J9" s="23">
        <f t="shared" si="0"/>
        <v>132</v>
      </c>
      <c r="K9" s="23">
        <f>SUMPRODUCT($D9:$G9,Crude_Data!$C$5:$F$5)</f>
        <v>3.35</v>
      </c>
      <c r="L9" s="23">
        <f>SUMPRODUCT($D9:$G9,Crude_Data!$C$6:$F$6)</f>
        <v>27.8</v>
      </c>
      <c r="M9" s="23">
        <f>SUMPRODUCT($D9:$G9,Crude_Data!$C$7:$F$7)</f>
        <v>20.529999999999998</v>
      </c>
      <c r="N9" s="23">
        <f>SUMPRODUCT($D9:$G9,Crude_Data!$C$8:$F$8)</f>
        <v>33.9</v>
      </c>
      <c r="O9" s="23">
        <f>SUMPRODUCT($D9:$G9,Crude_Data!$C$9:$F$9)</f>
        <v>45.1</v>
      </c>
      <c r="P9" s="24">
        <f>IF(O9&gt;0,SUMPRODUCT($D9:$G9,Crude_Data!$C$9:$F$9,Crude_Data!$C$12:$F$12)/O9,0)</f>
        <v>1.4487028824833703</v>
      </c>
      <c r="Q9" s="23">
        <f>H9*Unit_Data!$D$11</f>
        <v>15.959999999999999</v>
      </c>
      <c r="R9" s="23">
        <f>H9*Unit_Data!$D$12</f>
        <v>1.52</v>
      </c>
      <c r="S9" s="23">
        <f>I9*Unit_Data!$D$17</f>
        <v>14.56</v>
      </c>
      <c r="T9" s="23">
        <f>I9*Unit_Data!$D$18</f>
        <v>5.04</v>
      </c>
      <c r="U9" s="23">
        <f>I9*Unit_Data!$D$19</f>
        <v>5.04</v>
      </c>
      <c r="V9" s="23">
        <f>I9*Unit_Data!$D$20</f>
        <v>1.68</v>
      </c>
      <c r="W9" s="23">
        <f t="shared" si="1"/>
        <v>38.94</v>
      </c>
      <c r="X9" s="23">
        <f t="shared" si="2"/>
        <v>9.91</v>
      </c>
      <c r="Y9" s="23">
        <f t="shared" si="7"/>
        <v>8.8000000000000007</v>
      </c>
      <c r="Z9" s="23">
        <f t="shared" si="8"/>
        <v>30.52</v>
      </c>
      <c r="AA9" s="23">
        <f t="shared" si="3"/>
        <v>20.529999999999998</v>
      </c>
      <c r="AB9" s="23">
        <f>W9*Unit_Data!$D$25</f>
        <v>38.161199999999994</v>
      </c>
      <c r="AC9" s="23">
        <f t="shared" si="4"/>
        <v>18.78</v>
      </c>
      <c r="AD9" s="23">
        <f>IF(Z9&gt;0,(Q9*Unit_Data!$D$26+S9*Unit_Data!$D$27)/Z9,0)</f>
        <v>95.137614678899084</v>
      </c>
      <c r="AE9" s="25">
        <f>SUMPRODUCT(X9:AC9,Product_Data!$C$4:$H$4)</f>
        <v>11740.956</v>
      </c>
      <c r="AF9" s="25">
        <f>SUMPRODUCT(D9:G9,Crude_Data!$C$4:$F$4)</f>
        <v>10650</v>
      </c>
      <c r="AG9" s="25">
        <f>J9*Unit_Data!$D$7+H9*Unit_Data!$D$10+I9*Unit_Data!$D$16+W9*Unit_Data!$D$24</f>
        <v>349.90999999999997</v>
      </c>
      <c r="AH9" s="25">
        <f t="shared" si="5"/>
        <v>741.04600000000016</v>
      </c>
      <c r="AI9" s="24">
        <f t="shared" si="6"/>
        <v>5.6139848484848498</v>
      </c>
    </row>
    <row r="10" spans="1:35" x14ac:dyDescent="0.25">
      <c r="A10" s="9">
        <v>6</v>
      </c>
      <c r="B10" s="20">
        <v>46301</v>
      </c>
      <c r="C10" s="21" t="s">
        <v>255</v>
      </c>
      <c r="D10" s="22">
        <v>37</v>
      </c>
      <c r="E10" s="22">
        <v>36</v>
      </c>
      <c r="F10" s="22">
        <v>38</v>
      </c>
      <c r="G10" s="22">
        <v>28</v>
      </c>
      <c r="H10" s="22">
        <v>20</v>
      </c>
      <c r="I10" s="22">
        <v>30</v>
      </c>
      <c r="J10" s="23">
        <f t="shared" si="0"/>
        <v>139</v>
      </c>
      <c r="K10" s="23">
        <f>SUMPRODUCT($D10:$G10,Crude_Data!$C$5:$F$5)</f>
        <v>3.52</v>
      </c>
      <c r="L10" s="23">
        <f>SUMPRODUCT($D10:$G10,Crude_Data!$C$6:$F$6)</f>
        <v>29.26</v>
      </c>
      <c r="M10" s="23">
        <f>SUMPRODUCT($D10:$G10,Crude_Data!$C$7:$F$7)</f>
        <v>21.6</v>
      </c>
      <c r="N10" s="23">
        <f>SUMPRODUCT($D10:$G10,Crude_Data!$C$8:$F$8)</f>
        <v>35.68</v>
      </c>
      <c r="O10" s="23">
        <f>SUMPRODUCT($D10:$G10,Crude_Data!$C$9:$F$9)</f>
        <v>47.550000000000004</v>
      </c>
      <c r="P10" s="24">
        <f>IF(O10&gt;0,SUMPRODUCT($D10:$G10,Crude_Data!$C$9:$F$9,Crude_Data!$C$12:$F$12)/O10,0)</f>
        <v>1.4528075709779182</v>
      </c>
      <c r="Q10" s="23">
        <f>H10*Unit_Data!$D$11</f>
        <v>16.8</v>
      </c>
      <c r="R10" s="23">
        <f>H10*Unit_Data!$D$12</f>
        <v>1.6</v>
      </c>
      <c r="S10" s="23">
        <f>I10*Unit_Data!$D$17</f>
        <v>15.600000000000001</v>
      </c>
      <c r="T10" s="23">
        <f>I10*Unit_Data!$D$18</f>
        <v>5.3999999999999995</v>
      </c>
      <c r="U10" s="23">
        <f>I10*Unit_Data!$D$19</f>
        <v>5.3999999999999995</v>
      </c>
      <c r="V10" s="23">
        <f>I10*Unit_Data!$D$20</f>
        <v>1.7999999999999998</v>
      </c>
      <c r="W10" s="23">
        <f t="shared" si="1"/>
        <v>41.08</v>
      </c>
      <c r="X10" s="23">
        <f t="shared" si="2"/>
        <v>10.52</v>
      </c>
      <c r="Y10" s="23">
        <f t="shared" si="7"/>
        <v>9.2600000000000016</v>
      </c>
      <c r="Z10" s="23">
        <f t="shared" si="8"/>
        <v>32.400000000000006</v>
      </c>
      <c r="AA10" s="23">
        <f t="shared" si="3"/>
        <v>21.6</v>
      </c>
      <c r="AB10" s="23">
        <f>W10*Unit_Data!$D$25</f>
        <v>40.258399999999995</v>
      </c>
      <c r="AC10" s="23">
        <f t="shared" si="4"/>
        <v>19.350000000000005</v>
      </c>
      <c r="AD10" s="23">
        <f>IF(Z10&gt;0,(Q10*Unit_Data!$D$26+S10*Unit_Data!$D$27)/Z10,0)</f>
        <v>95.1111111111111</v>
      </c>
      <c r="AE10" s="25">
        <f>SUMPRODUCT(X10:AC10,Product_Data!$C$4:$H$4)</f>
        <v>12369.172000000002</v>
      </c>
      <c r="AF10" s="25">
        <f>SUMPRODUCT(D10:G10,Crude_Data!$C$4:$F$4)</f>
        <v>11212</v>
      </c>
      <c r="AG10" s="25">
        <f>J10*Unit_Data!$D$7+H10*Unit_Data!$D$10+I10*Unit_Data!$D$16+W10*Unit_Data!$D$24</f>
        <v>370.62</v>
      </c>
      <c r="AH10" s="25">
        <f t="shared" si="5"/>
        <v>786.55200000000229</v>
      </c>
      <c r="AI10" s="24">
        <f t="shared" si="6"/>
        <v>5.6586474820144046</v>
      </c>
    </row>
    <row r="11" spans="1:35" x14ac:dyDescent="0.25">
      <c r="A11" s="9">
        <v>7</v>
      </c>
      <c r="B11" s="20">
        <v>46302</v>
      </c>
      <c r="C11" s="21" t="s">
        <v>255</v>
      </c>
      <c r="D11" s="22">
        <v>39</v>
      </c>
      <c r="E11" s="22">
        <v>38</v>
      </c>
      <c r="F11" s="22">
        <v>40</v>
      </c>
      <c r="G11" s="22">
        <v>30</v>
      </c>
      <c r="H11" s="22">
        <v>22</v>
      </c>
      <c r="I11" s="22">
        <v>32</v>
      </c>
      <c r="J11" s="23">
        <f t="shared" si="0"/>
        <v>147</v>
      </c>
      <c r="K11" s="23">
        <f>SUMPRODUCT($D11:$G11,Crude_Data!$C$5:$F$5)</f>
        <v>3.72</v>
      </c>
      <c r="L11" s="23">
        <f>SUMPRODUCT($D11:$G11,Crude_Data!$C$6:$F$6)</f>
        <v>30.94</v>
      </c>
      <c r="M11" s="23">
        <f>SUMPRODUCT($D11:$G11,Crude_Data!$C$7:$F$7)</f>
        <v>22.840000000000003</v>
      </c>
      <c r="N11" s="23">
        <f>SUMPRODUCT($D11:$G11,Crude_Data!$C$8:$F$8)</f>
        <v>37.76</v>
      </c>
      <c r="O11" s="23">
        <f>SUMPRODUCT($D11:$G11,Crude_Data!$C$9:$F$9)</f>
        <v>50.27</v>
      </c>
      <c r="P11" s="24">
        <f>IF(O11&gt;0,SUMPRODUCT($D11:$G11,Crude_Data!$C$9:$F$9,Crude_Data!$C$12:$F$12)/O11,0)</f>
        <v>1.4494927392082755</v>
      </c>
      <c r="Q11" s="23">
        <f>H11*Unit_Data!$D$11</f>
        <v>18.48</v>
      </c>
      <c r="R11" s="23">
        <f>H11*Unit_Data!$D$12</f>
        <v>1.76</v>
      </c>
      <c r="S11" s="23">
        <f>I11*Unit_Data!$D$17</f>
        <v>16.64</v>
      </c>
      <c r="T11" s="23">
        <f>I11*Unit_Data!$D$18</f>
        <v>5.76</v>
      </c>
      <c r="U11" s="23">
        <f>I11*Unit_Data!$D$19</f>
        <v>5.76</v>
      </c>
      <c r="V11" s="23">
        <f>I11*Unit_Data!$D$20</f>
        <v>1.92</v>
      </c>
      <c r="W11" s="23">
        <f t="shared" si="1"/>
        <v>43.519999999999996</v>
      </c>
      <c r="X11" s="23">
        <f t="shared" si="2"/>
        <v>11.24</v>
      </c>
      <c r="Y11" s="23">
        <f t="shared" si="7"/>
        <v>8.9400000000000013</v>
      </c>
      <c r="Z11" s="23">
        <f t="shared" si="8"/>
        <v>35.120000000000005</v>
      </c>
      <c r="AA11" s="23">
        <f t="shared" si="3"/>
        <v>22.840000000000003</v>
      </c>
      <c r="AB11" s="23">
        <f>W11*Unit_Data!$D$25</f>
        <v>42.649599999999992</v>
      </c>
      <c r="AC11" s="23">
        <f t="shared" si="4"/>
        <v>20.190000000000005</v>
      </c>
      <c r="AD11" s="23">
        <f>IF(Z11&gt;0,(Q11*Unit_Data!$D$26+S11*Unit_Data!$D$27)/Z11,0)</f>
        <v>95.157175398633242</v>
      </c>
      <c r="AE11" s="25">
        <f>SUMPRODUCT(X11:AC11,Product_Data!$C$4:$H$4)</f>
        <v>13097.248</v>
      </c>
      <c r="AF11" s="25">
        <f>SUMPRODUCT(D11:G11,Crude_Data!$C$4:$F$4)</f>
        <v>11858</v>
      </c>
      <c r="AG11" s="25">
        <f>J11*Unit_Data!$D$7+H11*Unit_Data!$D$10+I11*Unit_Data!$D$16+W11*Unit_Data!$D$24</f>
        <v>395.28</v>
      </c>
      <c r="AH11" s="25">
        <f t="shared" si="5"/>
        <v>843.96799999999962</v>
      </c>
      <c r="AI11" s="24">
        <f t="shared" si="6"/>
        <v>5.7412789115646232</v>
      </c>
    </row>
    <row r="12" spans="1:35" x14ac:dyDescent="0.25">
      <c r="A12" s="9">
        <v>8</v>
      </c>
      <c r="B12" s="20">
        <v>46303</v>
      </c>
      <c r="C12" s="21" t="s">
        <v>255</v>
      </c>
      <c r="D12" s="22">
        <v>40</v>
      </c>
      <c r="E12" s="22">
        <v>40</v>
      </c>
      <c r="F12" s="22">
        <v>40</v>
      </c>
      <c r="G12" s="22">
        <v>30</v>
      </c>
      <c r="H12" s="22">
        <v>22</v>
      </c>
      <c r="I12" s="22">
        <v>33</v>
      </c>
      <c r="J12" s="23">
        <f t="shared" si="0"/>
        <v>150</v>
      </c>
      <c r="K12" s="23">
        <f>SUMPRODUCT($D12:$G12,Crude_Data!$C$5:$F$5)</f>
        <v>3.8000000000000003</v>
      </c>
      <c r="L12" s="23">
        <f>SUMPRODUCT($D12:$G12,Crude_Data!$C$6:$F$6)</f>
        <v>31.599999999999998</v>
      </c>
      <c r="M12" s="23">
        <f>SUMPRODUCT($D12:$G12,Crude_Data!$C$7:$F$7)</f>
        <v>23.3</v>
      </c>
      <c r="N12" s="23">
        <f>SUMPRODUCT($D12:$G12,Crude_Data!$C$8:$F$8)</f>
        <v>38.4</v>
      </c>
      <c r="O12" s="23">
        <f>SUMPRODUCT($D12:$G12,Crude_Data!$C$9:$F$9)</f>
        <v>51.400000000000006</v>
      </c>
      <c r="P12" s="24">
        <f>IF(O12&gt;0,SUMPRODUCT($D12:$G12,Crude_Data!$C$9:$F$9,Crude_Data!$C$12:$F$12)/O12,0)</f>
        <v>1.461089494163424</v>
      </c>
      <c r="Q12" s="23">
        <f>H12*Unit_Data!$D$11</f>
        <v>18.48</v>
      </c>
      <c r="R12" s="23">
        <f>H12*Unit_Data!$D$12</f>
        <v>1.76</v>
      </c>
      <c r="S12" s="23">
        <f>I12*Unit_Data!$D$17</f>
        <v>17.16</v>
      </c>
      <c r="T12" s="23">
        <f>I12*Unit_Data!$D$18</f>
        <v>5.9399999999999995</v>
      </c>
      <c r="U12" s="23">
        <f>I12*Unit_Data!$D$19</f>
        <v>5.9399999999999995</v>
      </c>
      <c r="V12" s="23">
        <f>I12*Unit_Data!$D$20</f>
        <v>1.98</v>
      </c>
      <c r="W12" s="23">
        <f t="shared" si="1"/>
        <v>44.339999999999996</v>
      </c>
      <c r="X12" s="23">
        <f t="shared" si="2"/>
        <v>11.5</v>
      </c>
      <c r="Y12" s="23">
        <f t="shared" si="7"/>
        <v>9.5999999999999979</v>
      </c>
      <c r="Z12" s="23">
        <f t="shared" si="8"/>
        <v>35.64</v>
      </c>
      <c r="AA12" s="23">
        <f t="shared" si="3"/>
        <v>23.3</v>
      </c>
      <c r="AB12" s="23">
        <f>W12*Unit_Data!$D$25</f>
        <v>43.453199999999995</v>
      </c>
      <c r="AC12" s="23">
        <f t="shared" si="4"/>
        <v>20.380000000000006</v>
      </c>
      <c r="AD12" s="23">
        <f>IF(Z12&gt;0,(Q12*Unit_Data!$D$26+S12*Unit_Data!$D$27)/Z12,0)</f>
        <v>95.111111111111114</v>
      </c>
      <c r="AE12" s="25">
        <f>SUMPRODUCT(X12:AC12,Product_Data!$C$4:$H$4)</f>
        <v>13358.606</v>
      </c>
      <c r="AF12" s="25">
        <f>SUMPRODUCT(D12:G12,Crude_Data!$C$4:$F$4)</f>
        <v>12095</v>
      </c>
      <c r="AG12" s="25">
        <f>J12*Unit_Data!$D$7+H12*Unit_Data!$D$10+I12*Unit_Data!$D$16+W12*Unit_Data!$D$24</f>
        <v>403.51</v>
      </c>
      <c r="AH12" s="25">
        <f t="shared" si="5"/>
        <v>860.09599999999978</v>
      </c>
      <c r="AI12" s="24">
        <f t="shared" si="6"/>
        <v>5.7339733333333323</v>
      </c>
    </row>
    <row r="13" spans="1:35" x14ac:dyDescent="0.25">
      <c r="A13" s="9">
        <v>9</v>
      </c>
      <c r="B13" s="20">
        <v>46304</v>
      </c>
      <c r="C13" s="21" t="s">
        <v>255</v>
      </c>
      <c r="D13" s="22">
        <v>40</v>
      </c>
      <c r="E13" s="22">
        <v>40</v>
      </c>
      <c r="F13" s="22">
        <v>41</v>
      </c>
      <c r="G13" s="22">
        <v>29</v>
      </c>
      <c r="H13" s="22">
        <v>23</v>
      </c>
      <c r="I13" s="22">
        <v>33</v>
      </c>
      <c r="J13" s="23">
        <f t="shared" si="0"/>
        <v>150</v>
      </c>
      <c r="K13" s="23">
        <f>SUMPRODUCT($D13:$G13,Crude_Data!$C$5:$F$5)</f>
        <v>3.81</v>
      </c>
      <c r="L13" s="23">
        <f>SUMPRODUCT($D13:$G13,Crude_Data!$C$6:$F$6)</f>
        <v>31.619999999999997</v>
      </c>
      <c r="M13" s="23">
        <f>SUMPRODUCT($D13:$G13,Crude_Data!$C$7:$F$7)</f>
        <v>23.32</v>
      </c>
      <c r="N13" s="23">
        <f>SUMPRODUCT($D13:$G13,Crude_Data!$C$8:$F$8)</f>
        <v>38.380000000000003</v>
      </c>
      <c r="O13" s="23">
        <f>SUMPRODUCT($D13:$G13,Crude_Data!$C$9:$F$9)</f>
        <v>51.370000000000005</v>
      </c>
      <c r="P13" s="24">
        <f>IF(O13&gt;0,SUMPRODUCT($D13:$G13,Crude_Data!$C$9:$F$9,Crude_Data!$C$12:$F$12)/O13,0)</f>
        <v>1.461563169164882</v>
      </c>
      <c r="Q13" s="23">
        <f>H13*Unit_Data!$D$11</f>
        <v>19.32</v>
      </c>
      <c r="R13" s="23">
        <f>H13*Unit_Data!$D$12</f>
        <v>1.84</v>
      </c>
      <c r="S13" s="23">
        <f>I13*Unit_Data!$D$17</f>
        <v>17.16</v>
      </c>
      <c r="T13" s="23">
        <f>I13*Unit_Data!$D$18</f>
        <v>5.9399999999999995</v>
      </c>
      <c r="U13" s="23">
        <f>I13*Unit_Data!$D$19</f>
        <v>5.9399999999999995</v>
      </c>
      <c r="V13" s="23">
        <f>I13*Unit_Data!$D$20</f>
        <v>1.98</v>
      </c>
      <c r="W13" s="23">
        <f t="shared" si="1"/>
        <v>44.32</v>
      </c>
      <c r="X13" s="23">
        <f t="shared" si="2"/>
        <v>11.59</v>
      </c>
      <c r="Y13" s="23">
        <f t="shared" si="7"/>
        <v>8.6199999999999974</v>
      </c>
      <c r="Z13" s="23">
        <f t="shared" si="8"/>
        <v>36.480000000000004</v>
      </c>
      <c r="AA13" s="23">
        <f t="shared" si="3"/>
        <v>23.32</v>
      </c>
      <c r="AB13" s="23">
        <f>W13*Unit_Data!$D$25</f>
        <v>43.433599999999998</v>
      </c>
      <c r="AC13" s="23">
        <f t="shared" si="4"/>
        <v>20.350000000000005</v>
      </c>
      <c r="AD13" s="23">
        <f>IF(Z13&gt;0,(Q13*Unit_Data!$D$26+S13*Unit_Data!$D$27)/Z13,0)</f>
        <v>95.177631578947356</v>
      </c>
      <c r="AE13" s="25">
        <f>SUMPRODUCT(X13:AC13,Product_Data!$C$4:$H$4)</f>
        <v>13372.488000000001</v>
      </c>
      <c r="AF13" s="25">
        <f>SUMPRODUCT(D13:G13,Crude_Data!$C$4:$F$4)</f>
        <v>12096.5</v>
      </c>
      <c r="AG13" s="25">
        <f>J13*Unit_Data!$D$7+H13*Unit_Data!$D$10+I13*Unit_Data!$D$16+W13*Unit_Data!$D$24</f>
        <v>405.98</v>
      </c>
      <c r="AH13" s="25">
        <f t="shared" si="5"/>
        <v>870.00800000000118</v>
      </c>
      <c r="AI13" s="24">
        <f t="shared" si="6"/>
        <v>5.8000533333333415</v>
      </c>
    </row>
    <row r="14" spans="1:35" x14ac:dyDescent="0.25">
      <c r="A14" s="9">
        <v>10</v>
      </c>
      <c r="B14" s="20">
        <v>46305</v>
      </c>
      <c r="C14" s="21" t="s">
        <v>255</v>
      </c>
      <c r="D14" s="22">
        <v>40</v>
      </c>
      <c r="E14" s="22">
        <v>40</v>
      </c>
      <c r="F14" s="22">
        <v>40</v>
      </c>
      <c r="G14" s="22">
        <v>30</v>
      </c>
      <c r="H14" s="22">
        <v>22</v>
      </c>
      <c r="I14" s="22">
        <v>32</v>
      </c>
      <c r="J14" s="23">
        <f t="shared" si="0"/>
        <v>150</v>
      </c>
      <c r="K14" s="23">
        <f>SUMPRODUCT($D14:$G14,Crude_Data!$C$5:$F$5)</f>
        <v>3.8000000000000003</v>
      </c>
      <c r="L14" s="23">
        <f>SUMPRODUCT($D14:$G14,Crude_Data!$C$6:$F$6)</f>
        <v>31.599999999999998</v>
      </c>
      <c r="M14" s="23">
        <f>SUMPRODUCT($D14:$G14,Crude_Data!$C$7:$F$7)</f>
        <v>23.3</v>
      </c>
      <c r="N14" s="23">
        <f>SUMPRODUCT($D14:$G14,Crude_Data!$C$8:$F$8)</f>
        <v>38.4</v>
      </c>
      <c r="O14" s="23">
        <f>SUMPRODUCT($D14:$G14,Crude_Data!$C$9:$F$9)</f>
        <v>51.400000000000006</v>
      </c>
      <c r="P14" s="24">
        <f>IF(O14&gt;0,SUMPRODUCT($D14:$G14,Crude_Data!$C$9:$F$9,Crude_Data!$C$12:$F$12)/O14,0)</f>
        <v>1.461089494163424</v>
      </c>
      <c r="Q14" s="23">
        <f>H14*Unit_Data!$D$11</f>
        <v>18.48</v>
      </c>
      <c r="R14" s="23">
        <f>H14*Unit_Data!$D$12</f>
        <v>1.76</v>
      </c>
      <c r="S14" s="23">
        <f>I14*Unit_Data!$D$17</f>
        <v>16.64</v>
      </c>
      <c r="T14" s="23">
        <f>I14*Unit_Data!$D$18</f>
        <v>5.76</v>
      </c>
      <c r="U14" s="23">
        <f>I14*Unit_Data!$D$19</f>
        <v>5.76</v>
      </c>
      <c r="V14" s="23">
        <f>I14*Unit_Data!$D$20</f>
        <v>1.92</v>
      </c>
      <c r="W14" s="23">
        <f t="shared" si="1"/>
        <v>44.16</v>
      </c>
      <c r="X14" s="23">
        <f t="shared" si="2"/>
        <v>11.32</v>
      </c>
      <c r="Y14" s="23">
        <f t="shared" si="7"/>
        <v>9.5999999999999979</v>
      </c>
      <c r="Z14" s="23">
        <f t="shared" si="8"/>
        <v>35.120000000000005</v>
      </c>
      <c r="AA14" s="23">
        <f t="shared" si="3"/>
        <v>23.3</v>
      </c>
      <c r="AB14" s="23">
        <f>W14*Unit_Data!$D$25</f>
        <v>43.276799999999994</v>
      </c>
      <c r="AC14" s="23">
        <f t="shared" si="4"/>
        <v>21.320000000000007</v>
      </c>
      <c r="AD14" s="23">
        <f>IF(Z14&gt;0,(Q14*Unit_Data!$D$26+S14*Unit_Data!$D$27)/Z14,0)</f>
        <v>95.157175398633242</v>
      </c>
      <c r="AE14" s="25">
        <f>SUMPRODUCT(X14:AC14,Product_Data!$C$4:$H$4)</f>
        <v>13345.484</v>
      </c>
      <c r="AF14" s="25">
        <f>SUMPRODUCT(D14:G14,Crude_Data!$C$4:$F$4)</f>
        <v>12095</v>
      </c>
      <c r="AG14" s="25">
        <f>J14*Unit_Data!$D$7+H14*Unit_Data!$D$10+I14*Unit_Data!$D$16+W14*Unit_Data!$D$24</f>
        <v>399.24</v>
      </c>
      <c r="AH14" s="25">
        <f t="shared" si="5"/>
        <v>851.24400000000037</v>
      </c>
      <c r="AI14" s="24">
        <f t="shared" si="6"/>
        <v>5.6749600000000022</v>
      </c>
    </row>
    <row r="15" spans="1:35" x14ac:dyDescent="0.25">
      <c r="A15" s="9">
        <v>11</v>
      </c>
      <c r="B15" s="20">
        <v>46306</v>
      </c>
      <c r="C15" s="21" t="s">
        <v>255</v>
      </c>
      <c r="D15" s="22">
        <v>40</v>
      </c>
      <c r="E15" s="22">
        <v>40</v>
      </c>
      <c r="F15" s="22">
        <v>40</v>
      </c>
      <c r="G15" s="22">
        <v>30</v>
      </c>
      <c r="H15" s="22">
        <v>22</v>
      </c>
      <c r="I15" s="22">
        <v>32</v>
      </c>
      <c r="J15" s="23">
        <f t="shared" si="0"/>
        <v>150</v>
      </c>
      <c r="K15" s="23">
        <f>SUMPRODUCT($D15:$G15,Crude_Data!$C$5:$F$5)</f>
        <v>3.8000000000000003</v>
      </c>
      <c r="L15" s="23">
        <f>SUMPRODUCT($D15:$G15,Crude_Data!$C$6:$F$6)</f>
        <v>31.599999999999998</v>
      </c>
      <c r="M15" s="23">
        <f>SUMPRODUCT($D15:$G15,Crude_Data!$C$7:$F$7)</f>
        <v>23.3</v>
      </c>
      <c r="N15" s="23">
        <f>SUMPRODUCT($D15:$G15,Crude_Data!$C$8:$F$8)</f>
        <v>38.4</v>
      </c>
      <c r="O15" s="23">
        <f>SUMPRODUCT($D15:$G15,Crude_Data!$C$9:$F$9)</f>
        <v>51.400000000000006</v>
      </c>
      <c r="P15" s="24">
        <f>IF(O15&gt;0,SUMPRODUCT($D15:$G15,Crude_Data!$C$9:$F$9,Crude_Data!$C$12:$F$12)/O15,0)</f>
        <v>1.461089494163424</v>
      </c>
      <c r="Q15" s="23">
        <f>H15*Unit_Data!$D$11</f>
        <v>18.48</v>
      </c>
      <c r="R15" s="23">
        <f>H15*Unit_Data!$D$12</f>
        <v>1.76</v>
      </c>
      <c r="S15" s="23">
        <f>I15*Unit_Data!$D$17</f>
        <v>16.64</v>
      </c>
      <c r="T15" s="23">
        <f>I15*Unit_Data!$D$18</f>
        <v>5.76</v>
      </c>
      <c r="U15" s="23">
        <f>I15*Unit_Data!$D$19</f>
        <v>5.76</v>
      </c>
      <c r="V15" s="23">
        <f>I15*Unit_Data!$D$20</f>
        <v>1.92</v>
      </c>
      <c r="W15" s="23">
        <f t="shared" si="1"/>
        <v>44.16</v>
      </c>
      <c r="X15" s="23">
        <f t="shared" si="2"/>
        <v>11.32</v>
      </c>
      <c r="Y15" s="23">
        <f t="shared" si="7"/>
        <v>9.5999999999999979</v>
      </c>
      <c r="Z15" s="23">
        <f t="shared" si="8"/>
        <v>35.120000000000005</v>
      </c>
      <c r="AA15" s="23">
        <f t="shared" si="3"/>
        <v>23.3</v>
      </c>
      <c r="AB15" s="23">
        <f>W15*Unit_Data!$D$25</f>
        <v>43.276799999999994</v>
      </c>
      <c r="AC15" s="23">
        <f t="shared" si="4"/>
        <v>21.320000000000007</v>
      </c>
      <c r="AD15" s="23">
        <f>IF(Z15&gt;0,(Q15*Unit_Data!$D$26+S15*Unit_Data!$D$27)/Z15,0)</f>
        <v>95.157175398633242</v>
      </c>
      <c r="AE15" s="25">
        <f>SUMPRODUCT(X15:AC15,Product_Data!$C$4:$H$4)</f>
        <v>13345.484</v>
      </c>
      <c r="AF15" s="25">
        <f>SUMPRODUCT(D15:G15,Crude_Data!$C$4:$F$4)</f>
        <v>12095</v>
      </c>
      <c r="AG15" s="25">
        <f>J15*Unit_Data!$D$7+H15*Unit_Data!$D$10+I15*Unit_Data!$D$16+W15*Unit_Data!$D$24</f>
        <v>399.24</v>
      </c>
      <c r="AH15" s="25">
        <f t="shared" si="5"/>
        <v>851.24400000000037</v>
      </c>
      <c r="AI15" s="24">
        <f t="shared" si="6"/>
        <v>5.6749600000000022</v>
      </c>
    </row>
    <row r="16" spans="1:35" x14ac:dyDescent="0.25">
      <c r="A16" s="9">
        <v>12</v>
      </c>
      <c r="B16" s="20">
        <v>46307</v>
      </c>
      <c r="C16" s="21" t="s">
        <v>256</v>
      </c>
      <c r="D16" s="26">
        <v>40</v>
      </c>
      <c r="E16" s="26">
        <v>40</v>
      </c>
      <c r="F16" s="26">
        <v>40</v>
      </c>
      <c r="G16" s="26">
        <v>30</v>
      </c>
      <c r="H16" s="26">
        <v>22</v>
      </c>
      <c r="I16" s="26">
        <v>32</v>
      </c>
      <c r="J16" s="23">
        <f t="shared" si="0"/>
        <v>150</v>
      </c>
      <c r="K16" s="23">
        <f>SUMPRODUCT($D16:$G16,Crude_Data!$C$5:$F$5)</f>
        <v>3.8000000000000003</v>
      </c>
      <c r="L16" s="23">
        <f>SUMPRODUCT($D16:$G16,Crude_Data!$C$6:$F$6)</f>
        <v>31.599999999999998</v>
      </c>
      <c r="M16" s="23">
        <f>SUMPRODUCT($D16:$G16,Crude_Data!$C$7:$F$7)</f>
        <v>23.3</v>
      </c>
      <c r="N16" s="23">
        <f>SUMPRODUCT($D16:$G16,Crude_Data!$C$8:$F$8)</f>
        <v>38.4</v>
      </c>
      <c r="O16" s="23">
        <f>SUMPRODUCT($D16:$G16,Crude_Data!$C$9:$F$9)</f>
        <v>51.400000000000006</v>
      </c>
      <c r="P16" s="24">
        <f>IF(O16&gt;0,SUMPRODUCT($D16:$G16,Crude_Data!$C$9:$F$9,Crude_Data!$C$12:$F$12)/O16,0)</f>
        <v>1.461089494163424</v>
      </c>
      <c r="Q16" s="23">
        <f>H16*Unit_Data!$D$11</f>
        <v>18.48</v>
      </c>
      <c r="R16" s="23">
        <f>H16*Unit_Data!$D$12</f>
        <v>1.76</v>
      </c>
      <c r="S16" s="23">
        <f>I16*Unit_Data!$D$17</f>
        <v>16.64</v>
      </c>
      <c r="T16" s="23">
        <f>I16*Unit_Data!$D$18</f>
        <v>5.76</v>
      </c>
      <c r="U16" s="23">
        <f>I16*Unit_Data!$D$19</f>
        <v>5.76</v>
      </c>
      <c r="V16" s="23">
        <f>I16*Unit_Data!$D$20</f>
        <v>1.92</v>
      </c>
      <c r="W16" s="23">
        <f t="shared" si="1"/>
        <v>44.16</v>
      </c>
      <c r="X16" s="23">
        <f t="shared" si="2"/>
        <v>11.32</v>
      </c>
      <c r="Y16" s="23">
        <f t="shared" si="7"/>
        <v>9.5999999999999979</v>
      </c>
      <c r="Z16" s="23">
        <f t="shared" si="8"/>
        <v>35.120000000000005</v>
      </c>
      <c r="AA16" s="23">
        <f t="shared" si="3"/>
        <v>23.3</v>
      </c>
      <c r="AB16" s="23">
        <f>W16*Unit_Data!$D$25</f>
        <v>43.276799999999994</v>
      </c>
      <c r="AC16" s="23">
        <f t="shared" si="4"/>
        <v>21.320000000000007</v>
      </c>
      <c r="AD16" s="23">
        <f>IF(Z16&gt;0,(Q16*Unit_Data!$D$26+S16*Unit_Data!$D$27)/Z16,0)</f>
        <v>95.157175398633242</v>
      </c>
      <c r="AE16" s="25">
        <f>SUMPRODUCT(X16:AC16,Product_Data!$C$4:$H$4)</f>
        <v>13345.484</v>
      </c>
      <c r="AF16" s="25">
        <f>SUMPRODUCT(D16:G16,Crude_Data!$C$4:$F$4)</f>
        <v>12095</v>
      </c>
      <c r="AG16" s="25">
        <f>J16*Unit_Data!$D$7+H16*Unit_Data!$D$10+I16*Unit_Data!$D$16+W16*Unit_Data!$D$24</f>
        <v>399.24</v>
      </c>
      <c r="AH16" s="25">
        <f t="shared" si="5"/>
        <v>851.24400000000037</v>
      </c>
      <c r="AI16" s="24">
        <f t="shared" si="6"/>
        <v>5.6749600000000022</v>
      </c>
    </row>
    <row r="17" spans="1:35" x14ac:dyDescent="0.25">
      <c r="A17" s="9">
        <v>13</v>
      </c>
      <c r="B17" s="20">
        <v>46308</v>
      </c>
      <c r="C17" s="21" t="s">
        <v>256</v>
      </c>
      <c r="D17" s="26">
        <v>40</v>
      </c>
      <c r="E17" s="26">
        <v>40</v>
      </c>
      <c r="F17" s="26">
        <v>40</v>
      </c>
      <c r="G17" s="26">
        <v>30</v>
      </c>
      <c r="H17" s="26">
        <v>22</v>
      </c>
      <c r="I17" s="26">
        <v>32</v>
      </c>
      <c r="J17" s="23">
        <f t="shared" si="0"/>
        <v>150</v>
      </c>
      <c r="K17" s="23">
        <f>SUMPRODUCT($D17:$G17,Crude_Data!$C$5:$F$5)</f>
        <v>3.8000000000000003</v>
      </c>
      <c r="L17" s="23">
        <f>SUMPRODUCT($D17:$G17,Crude_Data!$C$6:$F$6)</f>
        <v>31.599999999999998</v>
      </c>
      <c r="M17" s="23">
        <f>SUMPRODUCT($D17:$G17,Crude_Data!$C$7:$F$7)</f>
        <v>23.3</v>
      </c>
      <c r="N17" s="23">
        <f>SUMPRODUCT($D17:$G17,Crude_Data!$C$8:$F$8)</f>
        <v>38.4</v>
      </c>
      <c r="O17" s="23">
        <f>SUMPRODUCT($D17:$G17,Crude_Data!$C$9:$F$9)</f>
        <v>51.400000000000006</v>
      </c>
      <c r="P17" s="24">
        <f>IF(O17&gt;0,SUMPRODUCT($D17:$G17,Crude_Data!$C$9:$F$9,Crude_Data!$C$12:$F$12)/O17,0)</f>
        <v>1.461089494163424</v>
      </c>
      <c r="Q17" s="23">
        <f>H17*Unit_Data!$D$11</f>
        <v>18.48</v>
      </c>
      <c r="R17" s="23">
        <f>H17*Unit_Data!$D$12</f>
        <v>1.76</v>
      </c>
      <c r="S17" s="23">
        <f>I17*Unit_Data!$D$17</f>
        <v>16.64</v>
      </c>
      <c r="T17" s="23">
        <f>I17*Unit_Data!$D$18</f>
        <v>5.76</v>
      </c>
      <c r="U17" s="23">
        <f>I17*Unit_Data!$D$19</f>
        <v>5.76</v>
      </c>
      <c r="V17" s="23">
        <f>I17*Unit_Data!$D$20</f>
        <v>1.92</v>
      </c>
      <c r="W17" s="23">
        <f t="shared" si="1"/>
        <v>44.16</v>
      </c>
      <c r="X17" s="23">
        <f t="shared" si="2"/>
        <v>11.32</v>
      </c>
      <c r="Y17" s="23">
        <f t="shared" si="7"/>
        <v>9.5999999999999979</v>
      </c>
      <c r="Z17" s="23">
        <f t="shared" si="8"/>
        <v>35.120000000000005</v>
      </c>
      <c r="AA17" s="23">
        <f t="shared" si="3"/>
        <v>23.3</v>
      </c>
      <c r="AB17" s="23">
        <f>W17*Unit_Data!$D$25</f>
        <v>43.276799999999994</v>
      </c>
      <c r="AC17" s="23">
        <f t="shared" si="4"/>
        <v>21.320000000000007</v>
      </c>
      <c r="AD17" s="23">
        <f>IF(Z17&gt;0,(Q17*Unit_Data!$D$26+S17*Unit_Data!$D$27)/Z17,0)</f>
        <v>95.157175398633242</v>
      </c>
      <c r="AE17" s="25">
        <f>SUMPRODUCT(X17:AC17,Product_Data!$C$4:$H$4)</f>
        <v>13345.484</v>
      </c>
      <c r="AF17" s="25">
        <f>SUMPRODUCT(D17:G17,Crude_Data!$C$4:$F$4)</f>
        <v>12095</v>
      </c>
      <c r="AG17" s="25">
        <f>J17*Unit_Data!$D$7+H17*Unit_Data!$D$10+I17*Unit_Data!$D$16+W17*Unit_Data!$D$24</f>
        <v>399.24</v>
      </c>
      <c r="AH17" s="25">
        <f t="shared" si="5"/>
        <v>851.24400000000037</v>
      </c>
      <c r="AI17" s="24">
        <f t="shared" si="6"/>
        <v>5.6749600000000022</v>
      </c>
    </row>
    <row r="18" spans="1:35" x14ac:dyDescent="0.25">
      <c r="A18" s="9">
        <v>14</v>
      </c>
      <c r="B18" s="20">
        <v>46309</v>
      </c>
      <c r="C18" s="21" t="s">
        <v>256</v>
      </c>
      <c r="D18" s="26">
        <v>40</v>
      </c>
      <c r="E18" s="26">
        <v>40</v>
      </c>
      <c r="F18" s="26">
        <v>40</v>
      </c>
      <c r="G18" s="26">
        <v>30</v>
      </c>
      <c r="H18" s="26">
        <v>22</v>
      </c>
      <c r="I18" s="26">
        <v>32</v>
      </c>
      <c r="J18" s="23">
        <f t="shared" si="0"/>
        <v>150</v>
      </c>
      <c r="K18" s="23">
        <f>SUMPRODUCT($D18:$G18,Crude_Data!$C$5:$F$5)</f>
        <v>3.8000000000000003</v>
      </c>
      <c r="L18" s="23">
        <f>SUMPRODUCT($D18:$G18,Crude_Data!$C$6:$F$6)</f>
        <v>31.599999999999998</v>
      </c>
      <c r="M18" s="23">
        <f>SUMPRODUCT($D18:$G18,Crude_Data!$C$7:$F$7)</f>
        <v>23.3</v>
      </c>
      <c r="N18" s="23">
        <f>SUMPRODUCT($D18:$G18,Crude_Data!$C$8:$F$8)</f>
        <v>38.4</v>
      </c>
      <c r="O18" s="23">
        <f>SUMPRODUCT($D18:$G18,Crude_Data!$C$9:$F$9)</f>
        <v>51.400000000000006</v>
      </c>
      <c r="P18" s="24">
        <f>IF(O18&gt;0,SUMPRODUCT($D18:$G18,Crude_Data!$C$9:$F$9,Crude_Data!$C$12:$F$12)/O18,0)</f>
        <v>1.461089494163424</v>
      </c>
      <c r="Q18" s="23">
        <f>H18*Unit_Data!$D$11</f>
        <v>18.48</v>
      </c>
      <c r="R18" s="23">
        <f>H18*Unit_Data!$D$12</f>
        <v>1.76</v>
      </c>
      <c r="S18" s="23">
        <f>I18*Unit_Data!$D$17</f>
        <v>16.64</v>
      </c>
      <c r="T18" s="23">
        <f>I18*Unit_Data!$D$18</f>
        <v>5.76</v>
      </c>
      <c r="U18" s="23">
        <f>I18*Unit_Data!$D$19</f>
        <v>5.76</v>
      </c>
      <c r="V18" s="23">
        <f>I18*Unit_Data!$D$20</f>
        <v>1.92</v>
      </c>
      <c r="W18" s="23">
        <f t="shared" si="1"/>
        <v>44.16</v>
      </c>
      <c r="X18" s="23">
        <f t="shared" si="2"/>
        <v>11.32</v>
      </c>
      <c r="Y18" s="23">
        <f t="shared" si="7"/>
        <v>9.5999999999999979</v>
      </c>
      <c r="Z18" s="23">
        <f t="shared" si="8"/>
        <v>35.120000000000005</v>
      </c>
      <c r="AA18" s="23">
        <f t="shared" si="3"/>
        <v>23.3</v>
      </c>
      <c r="AB18" s="23">
        <f>W18*Unit_Data!$D$25</f>
        <v>43.276799999999994</v>
      </c>
      <c r="AC18" s="23">
        <f t="shared" si="4"/>
        <v>21.320000000000007</v>
      </c>
      <c r="AD18" s="23">
        <f>IF(Z18&gt;0,(Q18*Unit_Data!$D$26+S18*Unit_Data!$D$27)/Z18,0)</f>
        <v>95.157175398633242</v>
      </c>
      <c r="AE18" s="25">
        <f>SUMPRODUCT(X18:AC18,Product_Data!$C$4:$H$4)</f>
        <v>13345.484</v>
      </c>
      <c r="AF18" s="25">
        <f>SUMPRODUCT(D18:G18,Crude_Data!$C$4:$F$4)</f>
        <v>12095</v>
      </c>
      <c r="AG18" s="25">
        <f>J18*Unit_Data!$D$7+H18*Unit_Data!$D$10+I18*Unit_Data!$D$16+W18*Unit_Data!$D$24</f>
        <v>399.24</v>
      </c>
      <c r="AH18" s="25">
        <f t="shared" si="5"/>
        <v>851.24400000000037</v>
      </c>
      <c r="AI18" s="24">
        <f t="shared" si="6"/>
        <v>5.6749600000000022</v>
      </c>
    </row>
    <row r="19" spans="1:35" x14ac:dyDescent="0.25">
      <c r="A19" s="9">
        <v>15</v>
      </c>
      <c r="B19" s="20">
        <v>46310</v>
      </c>
      <c r="C19" s="21" t="s">
        <v>256</v>
      </c>
      <c r="D19" s="26">
        <v>40</v>
      </c>
      <c r="E19" s="26">
        <v>40</v>
      </c>
      <c r="F19" s="26">
        <v>40</v>
      </c>
      <c r="G19" s="26">
        <v>30</v>
      </c>
      <c r="H19" s="26">
        <v>22</v>
      </c>
      <c r="I19" s="26">
        <v>32</v>
      </c>
      <c r="J19" s="23">
        <f t="shared" si="0"/>
        <v>150</v>
      </c>
      <c r="K19" s="23">
        <f>SUMPRODUCT($D19:$G19,Crude_Data!$C$5:$F$5)</f>
        <v>3.8000000000000003</v>
      </c>
      <c r="L19" s="23">
        <f>SUMPRODUCT($D19:$G19,Crude_Data!$C$6:$F$6)</f>
        <v>31.599999999999998</v>
      </c>
      <c r="M19" s="23">
        <f>SUMPRODUCT($D19:$G19,Crude_Data!$C$7:$F$7)</f>
        <v>23.3</v>
      </c>
      <c r="N19" s="23">
        <f>SUMPRODUCT($D19:$G19,Crude_Data!$C$8:$F$8)</f>
        <v>38.4</v>
      </c>
      <c r="O19" s="23">
        <f>SUMPRODUCT($D19:$G19,Crude_Data!$C$9:$F$9)</f>
        <v>51.400000000000006</v>
      </c>
      <c r="P19" s="24">
        <f>IF(O19&gt;0,SUMPRODUCT($D19:$G19,Crude_Data!$C$9:$F$9,Crude_Data!$C$12:$F$12)/O19,0)</f>
        <v>1.461089494163424</v>
      </c>
      <c r="Q19" s="23">
        <f>H19*Unit_Data!$D$11</f>
        <v>18.48</v>
      </c>
      <c r="R19" s="23">
        <f>H19*Unit_Data!$D$12</f>
        <v>1.76</v>
      </c>
      <c r="S19" s="23">
        <f>I19*Unit_Data!$D$17</f>
        <v>16.64</v>
      </c>
      <c r="T19" s="23">
        <f>I19*Unit_Data!$D$18</f>
        <v>5.76</v>
      </c>
      <c r="U19" s="23">
        <f>I19*Unit_Data!$D$19</f>
        <v>5.76</v>
      </c>
      <c r="V19" s="23">
        <f>I19*Unit_Data!$D$20</f>
        <v>1.92</v>
      </c>
      <c r="W19" s="23">
        <f t="shared" si="1"/>
        <v>44.16</v>
      </c>
      <c r="X19" s="23">
        <f t="shared" si="2"/>
        <v>11.32</v>
      </c>
      <c r="Y19" s="23">
        <f t="shared" si="7"/>
        <v>9.5999999999999979</v>
      </c>
      <c r="Z19" s="23">
        <f t="shared" si="8"/>
        <v>35.120000000000005</v>
      </c>
      <c r="AA19" s="23">
        <f t="shared" si="3"/>
        <v>23.3</v>
      </c>
      <c r="AB19" s="23">
        <f>W19*Unit_Data!$D$25</f>
        <v>43.276799999999994</v>
      </c>
      <c r="AC19" s="23">
        <f t="shared" si="4"/>
        <v>21.320000000000007</v>
      </c>
      <c r="AD19" s="23">
        <f>IF(Z19&gt;0,(Q19*Unit_Data!$D$26+S19*Unit_Data!$D$27)/Z19,0)</f>
        <v>95.157175398633242</v>
      </c>
      <c r="AE19" s="25">
        <f>SUMPRODUCT(X19:AC19,Product_Data!$C$4:$H$4)</f>
        <v>13345.484</v>
      </c>
      <c r="AF19" s="25">
        <f>SUMPRODUCT(D19:G19,Crude_Data!$C$4:$F$4)</f>
        <v>12095</v>
      </c>
      <c r="AG19" s="25">
        <f>J19*Unit_Data!$D$7+H19*Unit_Data!$D$10+I19*Unit_Data!$D$16+W19*Unit_Data!$D$24</f>
        <v>399.24</v>
      </c>
      <c r="AH19" s="25">
        <f t="shared" si="5"/>
        <v>851.24400000000037</v>
      </c>
      <c r="AI19" s="24">
        <f t="shared" si="6"/>
        <v>5.6749600000000022</v>
      </c>
    </row>
    <row r="20" spans="1:35" x14ac:dyDescent="0.25">
      <c r="A20" s="9">
        <v>16</v>
      </c>
      <c r="B20" s="20">
        <v>46311</v>
      </c>
      <c r="C20" s="21" t="s">
        <v>256</v>
      </c>
      <c r="D20" s="26">
        <v>40</v>
      </c>
      <c r="E20" s="26">
        <v>40</v>
      </c>
      <c r="F20" s="26">
        <v>40</v>
      </c>
      <c r="G20" s="26">
        <v>30</v>
      </c>
      <c r="H20" s="26">
        <v>22</v>
      </c>
      <c r="I20" s="26">
        <v>32</v>
      </c>
      <c r="J20" s="23">
        <f t="shared" si="0"/>
        <v>150</v>
      </c>
      <c r="K20" s="23">
        <f>SUMPRODUCT($D20:$G20,Crude_Data!$C$5:$F$5)</f>
        <v>3.8000000000000003</v>
      </c>
      <c r="L20" s="23">
        <f>SUMPRODUCT($D20:$G20,Crude_Data!$C$6:$F$6)</f>
        <v>31.599999999999998</v>
      </c>
      <c r="M20" s="23">
        <f>SUMPRODUCT($D20:$G20,Crude_Data!$C$7:$F$7)</f>
        <v>23.3</v>
      </c>
      <c r="N20" s="23">
        <f>SUMPRODUCT($D20:$G20,Crude_Data!$C$8:$F$8)</f>
        <v>38.4</v>
      </c>
      <c r="O20" s="23">
        <f>SUMPRODUCT($D20:$G20,Crude_Data!$C$9:$F$9)</f>
        <v>51.400000000000006</v>
      </c>
      <c r="P20" s="24">
        <f>IF(O20&gt;0,SUMPRODUCT($D20:$G20,Crude_Data!$C$9:$F$9,Crude_Data!$C$12:$F$12)/O20,0)</f>
        <v>1.461089494163424</v>
      </c>
      <c r="Q20" s="23">
        <f>H20*Unit_Data!$D$11</f>
        <v>18.48</v>
      </c>
      <c r="R20" s="23">
        <f>H20*Unit_Data!$D$12</f>
        <v>1.76</v>
      </c>
      <c r="S20" s="23">
        <f>I20*Unit_Data!$D$17</f>
        <v>16.64</v>
      </c>
      <c r="T20" s="23">
        <f>I20*Unit_Data!$D$18</f>
        <v>5.76</v>
      </c>
      <c r="U20" s="23">
        <f>I20*Unit_Data!$D$19</f>
        <v>5.76</v>
      </c>
      <c r="V20" s="23">
        <f>I20*Unit_Data!$D$20</f>
        <v>1.92</v>
      </c>
      <c r="W20" s="23">
        <f t="shared" si="1"/>
        <v>44.16</v>
      </c>
      <c r="X20" s="23">
        <f t="shared" si="2"/>
        <v>11.32</v>
      </c>
      <c r="Y20" s="23">
        <f t="shared" si="7"/>
        <v>9.5999999999999979</v>
      </c>
      <c r="Z20" s="23">
        <f t="shared" si="8"/>
        <v>35.120000000000005</v>
      </c>
      <c r="AA20" s="23">
        <f t="shared" si="3"/>
        <v>23.3</v>
      </c>
      <c r="AB20" s="23">
        <f>W20*Unit_Data!$D$25</f>
        <v>43.276799999999994</v>
      </c>
      <c r="AC20" s="23">
        <f t="shared" si="4"/>
        <v>21.320000000000007</v>
      </c>
      <c r="AD20" s="23">
        <f>IF(Z20&gt;0,(Q20*Unit_Data!$D$26+S20*Unit_Data!$D$27)/Z20,0)</f>
        <v>95.157175398633242</v>
      </c>
      <c r="AE20" s="25">
        <f>SUMPRODUCT(X20:AC20,Product_Data!$C$4:$H$4)</f>
        <v>13345.484</v>
      </c>
      <c r="AF20" s="25">
        <f>SUMPRODUCT(D20:G20,Crude_Data!$C$4:$F$4)</f>
        <v>12095</v>
      </c>
      <c r="AG20" s="25">
        <f>J20*Unit_Data!$D$7+H20*Unit_Data!$D$10+I20*Unit_Data!$D$16+W20*Unit_Data!$D$24</f>
        <v>399.24</v>
      </c>
      <c r="AH20" s="25">
        <f t="shared" si="5"/>
        <v>851.24400000000037</v>
      </c>
      <c r="AI20" s="24">
        <f t="shared" si="6"/>
        <v>5.6749600000000022</v>
      </c>
    </row>
    <row r="21" spans="1:35" x14ac:dyDescent="0.25">
      <c r="A21" s="9">
        <v>17</v>
      </c>
      <c r="B21" s="20">
        <v>46312</v>
      </c>
      <c r="C21" s="21" t="s">
        <v>256</v>
      </c>
      <c r="D21" s="26">
        <v>40</v>
      </c>
      <c r="E21" s="26">
        <v>40</v>
      </c>
      <c r="F21" s="26">
        <v>40</v>
      </c>
      <c r="G21" s="26">
        <v>30</v>
      </c>
      <c r="H21" s="26">
        <v>22</v>
      </c>
      <c r="I21" s="26">
        <v>32</v>
      </c>
      <c r="J21" s="23">
        <f t="shared" si="0"/>
        <v>150</v>
      </c>
      <c r="K21" s="23">
        <f>SUMPRODUCT($D21:$G21,Crude_Data!$C$5:$F$5)</f>
        <v>3.8000000000000003</v>
      </c>
      <c r="L21" s="23">
        <f>SUMPRODUCT($D21:$G21,Crude_Data!$C$6:$F$6)</f>
        <v>31.599999999999998</v>
      </c>
      <c r="M21" s="23">
        <f>SUMPRODUCT($D21:$G21,Crude_Data!$C$7:$F$7)</f>
        <v>23.3</v>
      </c>
      <c r="N21" s="23">
        <f>SUMPRODUCT($D21:$G21,Crude_Data!$C$8:$F$8)</f>
        <v>38.4</v>
      </c>
      <c r="O21" s="23">
        <f>SUMPRODUCT($D21:$G21,Crude_Data!$C$9:$F$9)</f>
        <v>51.400000000000006</v>
      </c>
      <c r="P21" s="24">
        <f>IF(O21&gt;0,SUMPRODUCT($D21:$G21,Crude_Data!$C$9:$F$9,Crude_Data!$C$12:$F$12)/O21,0)</f>
        <v>1.461089494163424</v>
      </c>
      <c r="Q21" s="23">
        <f>H21*Unit_Data!$D$11</f>
        <v>18.48</v>
      </c>
      <c r="R21" s="23">
        <f>H21*Unit_Data!$D$12</f>
        <v>1.76</v>
      </c>
      <c r="S21" s="23">
        <f>I21*Unit_Data!$D$17</f>
        <v>16.64</v>
      </c>
      <c r="T21" s="23">
        <f>I21*Unit_Data!$D$18</f>
        <v>5.76</v>
      </c>
      <c r="U21" s="23">
        <f>I21*Unit_Data!$D$19</f>
        <v>5.76</v>
      </c>
      <c r="V21" s="23">
        <f>I21*Unit_Data!$D$20</f>
        <v>1.92</v>
      </c>
      <c r="W21" s="23">
        <f t="shared" si="1"/>
        <v>44.16</v>
      </c>
      <c r="X21" s="23">
        <f t="shared" si="2"/>
        <v>11.32</v>
      </c>
      <c r="Y21" s="23">
        <f t="shared" si="7"/>
        <v>9.5999999999999979</v>
      </c>
      <c r="Z21" s="23">
        <f t="shared" si="8"/>
        <v>35.120000000000005</v>
      </c>
      <c r="AA21" s="23">
        <f t="shared" si="3"/>
        <v>23.3</v>
      </c>
      <c r="AB21" s="23">
        <f>W21*Unit_Data!$D$25</f>
        <v>43.276799999999994</v>
      </c>
      <c r="AC21" s="23">
        <f t="shared" si="4"/>
        <v>21.320000000000007</v>
      </c>
      <c r="AD21" s="23">
        <f>IF(Z21&gt;0,(Q21*Unit_Data!$D$26+S21*Unit_Data!$D$27)/Z21,0)</f>
        <v>95.157175398633242</v>
      </c>
      <c r="AE21" s="25">
        <f>SUMPRODUCT(X21:AC21,Product_Data!$C$4:$H$4)</f>
        <v>13345.484</v>
      </c>
      <c r="AF21" s="25">
        <f>SUMPRODUCT(D21:G21,Crude_Data!$C$4:$F$4)</f>
        <v>12095</v>
      </c>
      <c r="AG21" s="25">
        <f>J21*Unit_Data!$D$7+H21*Unit_Data!$D$10+I21*Unit_Data!$D$16+W21*Unit_Data!$D$24</f>
        <v>399.24</v>
      </c>
      <c r="AH21" s="25">
        <f t="shared" si="5"/>
        <v>851.24400000000037</v>
      </c>
      <c r="AI21" s="24">
        <f t="shared" si="6"/>
        <v>5.6749600000000022</v>
      </c>
    </row>
    <row r="22" spans="1:35" x14ac:dyDescent="0.25">
      <c r="A22" s="9">
        <v>18</v>
      </c>
      <c r="B22" s="20">
        <v>46313</v>
      </c>
      <c r="C22" s="21" t="s">
        <v>256</v>
      </c>
      <c r="D22" s="26">
        <v>40</v>
      </c>
      <c r="E22" s="26">
        <v>40</v>
      </c>
      <c r="F22" s="26">
        <v>40</v>
      </c>
      <c r="G22" s="26">
        <v>30</v>
      </c>
      <c r="H22" s="26">
        <v>22</v>
      </c>
      <c r="I22" s="26">
        <v>32</v>
      </c>
      <c r="J22" s="23">
        <f t="shared" si="0"/>
        <v>150</v>
      </c>
      <c r="K22" s="23">
        <f>SUMPRODUCT($D22:$G22,Crude_Data!$C$5:$F$5)</f>
        <v>3.8000000000000003</v>
      </c>
      <c r="L22" s="23">
        <f>SUMPRODUCT($D22:$G22,Crude_Data!$C$6:$F$6)</f>
        <v>31.599999999999998</v>
      </c>
      <c r="M22" s="23">
        <f>SUMPRODUCT($D22:$G22,Crude_Data!$C$7:$F$7)</f>
        <v>23.3</v>
      </c>
      <c r="N22" s="23">
        <f>SUMPRODUCT($D22:$G22,Crude_Data!$C$8:$F$8)</f>
        <v>38.4</v>
      </c>
      <c r="O22" s="23">
        <f>SUMPRODUCT($D22:$G22,Crude_Data!$C$9:$F$9)</f>
        <v>51.400000000000006</v>
      </c>
      <c r="P22" s="24">
        <f>IF(O22&gt;0,SUMPRODUCT($D22:$G22,Crude_Data!$C$9:$F$9,Crude_Data!$C$12:$F$12)/O22,0)</f>
        <v>1.461089494163424</v>
      </c>
      <c r="Q22" s="23">
        <f>H22*Unit_Data!$D$11</f>
        <v>18.48</v>
      </c>
      <c r="R22" s="23">
        <f>H22*Unit_Data!$D$12</f>
        <v>1.76</v>
      </c>
      <c r="S22" s="23">
        <f>I22*Unit_Data!$D$17</f>
        <v>16.64</v>
      </c>
      <c r="T22" s="23">
        <f>I22*Unit_Data!$D$18</f>
        <v>5.76</v>
      </c>
      <c r="U22" s="23">
        <f>I22*Unit_Data!$D$19</f>
        <v>5.76</v>
      </c>
      <c r="V22" s="23">
        <f>I22*Unit_Data!$D$20</f>
        <v>1.92</v>
      </c>
      <c r="W22" s="23">
        <f t="shared" si="1"/>
        <v>44.16</v>
      </c>
      <c r="X22" s="23">
        <f t="shared" si="2"/>
        <v>11.32</v>
      </c>
      <c r="Y22" s="23">
        <f t="shared" si="7"/>
        <v>9.5999999999999979</v>
      </c>
      <c r="Z22" s="23">
        <f t="shared" si="8"/>
        <v>35.120000000000005</v>
      </c>
      <c r="AA22" s="23">
        <f t="shared" si="3"/>
        <v>23.3</v>
      </c>
      <c r="AB22" s="23">
        <f>W22*Unit_Data!$D$25</f>
        <v>43.276799999999994</v>
      </c>
      <c r="AC22" s="23">
        <f t="shared" si="4"/>
        <v>21.320000000000007</v>
      </c>
      <c r="AD22" s="23">
        <f>IF(Z22&gt;0,(Q22*Unit_Data!$D$26+S22*Unit_Data!$D$27)/Z22,0)</f>
        <v>95.157175398633242</v>
      </c>
      <c r="AE22" s="25">
        <f>SUMPRODUCT(X22:AC22,Product_Data!$C$4:$H$4)</f>
        <v>13345.484</v>
      </c>
      <c r="AF22" s="25">
        <f>SUMPRODUCT(D22:G22,Crude_Data!$C$4:$F$4)</f>
        <v>12095</v>
      </c>
      <c r="AG22" s="25">
        <f>J22*Unit_Data!$D$7+H22*Unit_Data!$D$10+I22*Unit_Data!$D$16+W22*Unit_Data!$D$24</f>
        <v>399.24</v>
      </c>
      <c r="AH22" s="25">
        <f t="shared" si="5"/>
        <v>851.24400000000037</v>
      </c>
      <c r="AI22" s="24">
        <f t="shared" si="6"/>
        <v>5.6749600000000022</v>
      </c>
    </row>
    <row r="23" spans="1:35" x14ac:dyDescent="0.25">
      <c r="A23" s="9">
        <v>19</v>
      </c>
      <c r="B23" s="20">
        <v>46314</v>
      </c>
      <c r="C23" s="21" t="s">
        <v>256</v>
      </c>
      <c r="D23" s="26">
        <v>40</v>
      </c>
      <c r="E23" s="26">
        <v>40</v>
      </c>
      <c r="F23" s="26">
        <v>40</v>
      </c>
      <c r="G23" s="26">
        <v>30</v>
      </c>
      <c r="H23" s="26">
        <v>22</v>
      </c>
      <c r="I23" s="26">
        <v>32</v>
      </c>
      <c r="J23" s="23">
        <f t="shared" si="0"/>
        <v>150</v>
      </c>
      <c r="K23" s="23">
        <f>SUMPRODUCT($D23:$G23,Crude_Data!$C$5:$F$5)</f>
        <v>3.8000000000000003</v>
      </c>
      <c r="L23" s="23">
        <f>SUMPRODUCT($D23:$G23,Crude_Data!$C$6:$F$6)</f>
        <v>31.599999999999998</v>
      </c>
      <c r="M23" s="23">
        <f>SUMPRODUCT($D23:$G23,Crude_Data!$C$7:$F$7)</f>
        <v>23.3</v>
      </c>
      <c r="N23" s="23">
        <f>SUMPRODUCT($D23:$G23,Crude_Data!$C$8:$F$8)</f>
        <v>38.4</v>
      </c>
      <c r="O23" s="23">
        <f>SUMPRODUCT($D23:$G23,Crude_Data!$C$9:$F$9)</f>
        <v>51.400000000000006</v>
      </c>
      <c r="P23" s="24">
        <f>IF(O23&gt;0,SUMPRODUCT($D23:$G23,Crude_Data!$C$9:$F$9,Crude_Data!$C$12:$F$12)/O23,0)</f>
        <v>1.461089494163424</v>
      </c>
      <c r="Q23" s="23">
        <f>H23*Unit_Data!$D$11</f>
        <v>18.48</v>
      </c>
      <c r="R23" s="23">
        <f>H23*Unit_Data!$D$12</f>
        <v>1.76</v>
      </c>
      <c r="S23" s="23">
        <f>I23*Unit_Data!$D$17</f>
        <v>16.64</v>
      </c>
      <c r="T23" s="23">
        <f>I23*Unit_Data!$D$18</f>
        <v>5.76</v>
      </c>
      <c r="U23" s="23">
        <f>I23*Unit_Data!$D$19</f>
        <v>5.76</v>
      </c>
      <c r="V23" s="23">
        <f>I23*Unit_Data!$D$20</f>
        <v>1.92</v>
      </c>
      <c r="W23" s="23">
        <f t="shared" si="1"/>
        <v>44.16</v>
      </c>
      <c r="X23" s="23">
        <f t="shared" si="2"/>
        <v>11.32</v>
      </c>
      <c r="Y23" s="23">
        <f t="shared" si="7"/>
        <v>9.5999999999999979</v>
      </c>
      <c r="Z23" s="23">
        <f t="shared" si="8"/>
        <v>35.120000000000005</v>
      </c>
      <c r="AA23" s="23">
        <f t="shared" si="3"/>
        <v>23.3</v>
      </c>
      <c r="AB23" s="23">
        <f>W23*Unit_Data!$D$25</f>
        <v>43.276799999999994</v>
      </c>
      <c r="AC23" s="23">
        <f t="shared" si="4"/>
        <v>21.320000000000007</v>
      </c>
      <c r="AD23" s="23">
        <f>IF(Z23&gt;0,(Q23*Unit_Data!$D$26+S23*Unit_Data!$D$27)/Z23,0)</f>
        <v>95.157175398633242</v>
      </c>
      <c r="AE23" s="25">
        <f>SUMPRODUCT(X23:AC23,Product_Data!$C$4:$H$4)</f>
        <v>13345.484</v>
      </c>
      <c r="AF23" s="25">
        <f>SUMPRODUCT(D23:G23,Crude_Data!$C$4:$F$4)</f>
        <v>12095</v>
      </c>
      <c r="AG23" s="25">
        <f>J23*Unit_Data!$D$7+H23*Unit_Data!$D$10+I23*Unit_Data!$D$16+W23*Unit_Data!$D$24</f>
        <v>399.24</v>
      </c>
      <c r="AH23" s="25">
        <f t="shared" si="5"/>
        <v>851.24400000000037</v>
      </c>
      <c r="AI23" s="24">
        <f t="shared" si="6"/>
        <v>5.6749600000000022</v>
      </c>
    </row>
    <row r="24" spans="1:35" x14ac:dyDescent="0.25">
      <c r="A24" s="9">
        <v>20</v>
      </c>
      <c r="B24" s="20">
        <v>46315</v>
      </c>
      <c r="C24" s="21" t="s">
        <v>256</v>
      </c>
      <c r="D24" s="26">
        <v>40</v>
      </c>
      <c r="E24" s="26">
        <v>40</v>
      </c>
      <c r="F24" s="26">
        <v>40</v>
      </c>
      <c r="G24" s="26">
        <v>30</v>
      </c>
      <c r="H24" s="26">
        <v>22</v>
      </c>
      <c r="I24" s="26">
        <v>32</v>
      </c>
      <c r="J24" s="23">
        <f t="shared" si="0"/>
        <v>150</v>
      </c>
      <c r="K24" s="23">
        <f>SUMPRODUCT($D24:$G24,Crude_Data!$C$5:$F$5)</f>
        <v>3.8000000000000003</v>
      </c>
      <c r="L24" s="23">
        <f>SUMPRODUCT($D24:$G24,Crude_Data!$C$6:$F$6)</f>
        <v>31.599999999999998</v>
      </c>
      <c r="M24" s="23">
        <f>SUMPRODUCT($D24:$G24,Crude_Data!$C$7:$F$7)</f>
        <v>23.3</v>
      </c>
      <c r="N24" s="23">
        <f>SUMPRODUCT($D24:$G24,Crude_Data!$C$8:$F$8)</f>
        <v>38.4</v>
      </c>
      <c r="O24" s="23">
        <f>SUMPRODUCT($D24:$G24,Crude_Data!$C$9:$F$9)</f>
        <v>51.400000000000006</v>
      </c>
      <c r="P24" s="24">
        <f>IF(O24&gt;0,SUMPRODUCT($D24:$G24,Crude_Data!$C$9:$F$9,Crude_Data!$C$12:$F$12)/O24,0)</f>
        <v>1.461089494163424</v>
      </c>
      <c r="Q24" s="23">
        <f>H24*Unit_Data!$D$11</f>
        <v>18.48</v>
      </c>
      <c r="R24" s="23">
        <f>H24*Unit_Data!$D$12</f>
        <v>1.76</v>
      </c>
      <c r="S24" s="23">
        <f>I24*Unit_Data!$D$17</f>
        <v>16.64</v>
      </c>
      <c r="T24" s="23">
        <f>I24*Unit_Data!$D$18</f>
        <v>5.76</v>
      </c>
      <c r="U24" s="23">
        <f>I24*Unit_Data!$D$19</f>
        <v>5.76</v>
      </c>
      <c r="V24" s="23">
        <f>I24*Unit_Data!$D$20</f>
        <v>1.92</v>
      </c>
      <c r="W24" s="23">
        <f t="shared" si="1"/>
        <v>44.16</v>
      </c>
      <c r="X24" s="23">
        <f t="shared" si="2"/>
        <v>11.32</v>
      </c>
      <c r="Y24" s="23">
        <f t="shared" si="7"/>
        <v>9.5999999999999979</v>
      </c>
      <c r="Z24" s="23">
        <f t="shared" si="8"/>
        <v>35.120000000000005</v>
      </c>
      <c r="AA24" s="23">
        <f t="shared" si="3"/>
        <v>23.3</v>
      </c>
      <c r="AB24" s="23">
        <f>W24*Unit_Data!$D$25</f>
        <v>43.276799999999994</v>
      </c>
      <c r="AC24" s="23">
        <f t="shared" si="4"/>
        <v>21.320000000000007</v>
      </c>
      <c r="AD24" s="23">
        <f>IF(Z24&gt;0,(Q24*Unit_Data!$D$26+S24*Unit_Data!$D$27)/Z24,0)</f>
        <v>95.157175398633242</v>
      </c>
      <c r="AE24" s="25">
        <f>SUMPRODUCT(X24:AC24,Product_Data!$C$4:$H$4)</f>
        <v>13345.484</v>
      </c>
      <c r="AF24" s="25">
        <f>SUMPRODUCT(D24:G24,Crude_Data!$C$4:$F$4)</f>
        <v>12095</v>
      </c>
      <c r="AG24" s="25">
        <f>J24*Unit_Data!$D$7+H24*Unit_Data!$D$10+I24*Unit_Data!$D$16+W24*Unit_Data!$D$24</f>
        <v>399.24</v>
      </c>
      <c r="AH24" s="25">
        <f t="shared" si="5"/>
        <v>851.24400000000037</v>
      </c>
      <c r="AI24" s="24">
        <f t="shared" si="6"/>
        <v>5.6749600000000022</v>
      </c>
    </row>
    <row r="25" spans="1:35" x14ac:dyDescent="0.25">
      <c r="A25" s="9">
        <v>21</v>
      </c>
      <c r="B25" s="20">
        <v>46316</v>
      </c>
      <c r="C25" s="21" t="s">
        <v>256</v>
      </c>
      <c r="D25" s="26">
        <v>40</v>
      </c>
      <c r="E25" s="26">
        <v>40</v>
      </c>
      <c r="F25" s="26">
        <v>40</v>
      </c>
      <c r="G25" s="26">
        <v>30</v>
      </c>
      <c r="H25" s="26">
        <v>22</v>
      </c>
      <c r="I25" s="26">
        <v>32</v>
      </c>
      <c r="J25" s="23">
        <f t="shared" si="0"/>
        <v>150</v>
      </c>
      <c r="K25" s="23">
        <f>SUMPRODUCT($D25:$G25,Crude_Data!$C$5:$F$5)</f>
        <v>3.8000000000000003</v>
      </c>
      <c r="L25" s="23">
        <f>SUMPRODUCT($D25:$G25,Crude_Data!$C$6:$F$6)</f>
        <v>31.599999999999998</v>
      </c>
      <c r="M25" s="23">
        <f>SUMPRODUCT($D25:$G25,Crude_Data!$C$7:$F$7)</f>
        <v>23.3</v>
      </c>
      <c r="N25" s="23">
        <f>SUMPRODUCT($D25:$G25,Crude_Data!$C$8:$F$8)</f>
        <v>38.4</v>
      </c>
      <c r="O25" s="23">
        <f>SUMPRODUCT($D25:$G25,Crude_Data!$C$9:$F$9)</f>
        <v>51.400000000000006</v>
      </c>
      <c r="P25" s="24">
        <f>IF(O25&gt;0,SUMPRODUCT($D25:$G25,Crude_Data!$C$9:$F$9,Crude_Data!$C$12:$F$12)/O25,0)</f>
        <v>1.461089494163424</v>
      </c>
      <c r="Q25" s="23">
        <f>H25*Unit_Data!$D$11</f>
        <v>18.48</v>
      </c>
      <c r="R25" s="23">
        <f>H25*Unit_Data!$D$12</f>
        <v>1.76</v>
      </c>
      <c r="S25" s="23">
        <f>I25*Unit_Data!$D$17</f>
        <v>16.64</v>
      </c>
      <c r="T25" s="23">
        <f>I25*Unit_Data!$D$18</f>
        <v>5.76</v>
      </c>
      <c r="U25" s="23">
        <f>I25*Unit_Data!$D$19</f>
        <v>5.76</v>
      </c>
      <c r="V25" s="23">
        <f>I25*Unit_Data!$D$20</f>
        <v>1.92</v>
      </c>
      <c r="W25" s="23">
        <f t="shared" si="1"/>
        <v>44.16</v>
      </c>
      <c r="X25" s="23">
        <f t="shared" si="2"/>
        <v>11.32</v>
      </c>
      <c r="Y25" s="23">
        <f t="shared" si="7"/>
        <v>9.5999999999999979</v>
      </c>
      <c r="Z25" s="23">
        <f t="shared" si="8"/>
        <v>35.120000000000005</v>
      </c>
      <c r="AA25" s="23">
        <f t="shared" si="3"/>
        <v>23.3</v>
      </c>
      <c r="AB25" s="23">
        <f>W25*Unit_Data!$D$25</f>
        <v>43.276799999999994</v>
      </c>
      <c r="AC25" s="23">
        <f t="shared" si="4"/>
        <v>21.320000000000007</v>
      </c>
      <c r="AD25" s="23">
        <f>IF(Z25&gt;0,(Q25*Unit_Data!$D$26+S25*Unit_Data!$D$27)/Z25,0)</f>
        <v>95.157175398633242</v>
      </c>
      <c r="AE25" s="25">
        <f>SUMPRODUCT(X25:AC25,Product_Data!$C$4:$H$4)</f>
        <v>13345.484</v>
      </c>
      <c r="AF25" s="25">
        <f>SUMPRODUCT(D25:G25,Crude_Data!$C$4:$F$4)</f>
        <v>12095</v>
      </c>
      <c r="AG25" s="25">
        <f>J25*Unit_Data!$D$7+H25*Unit_Data!$D$10+I25*Unit_Data!$D$16+W25*Unit_Data!$D$24</f>
        <v>399.24</v>
      </c>
      <c r="AH25" s="25">
        <f t="shared" si="5"/>
        <v>851.24400000000037</v>
      </c>
      <c r="AI25" s="24">
        <f t="shared" si="6"/>
        <v>5.6749600000000022</v>
      </c>
    </row>
    <row r="26" spans="1:35" x14ac:dyDescent="0.25">
      <c r="A26" s="9">
        <v>22</v>
      </c>
      <c r="B26" s="20">
        <v>46317</v>
      </c>
      <c r="C26" s="21" t="s">
        <v>256</v>
      </c>
      <c r="D26" s="26">
        <v>40</v>
      </c>
      <c r="E26" s="26">
        <v>40</v>
      </c>
      <c r="F26" s="26">
        <v>40</v>
      </c>
      <c r="G26" s="26">
        <v>30</v>
      </c>
      <c r="H26" s="26">
        <v>22</v>
      </c>
      <c r="I26" s="26">
        <v>32</v>
      </c>
      <c r="J26" s="23">
        <f t="shared" si="0"/>
        <v>150</v>
      </c>
      <c r="K26" s="23">
        <f>SUMPRODUCT($D26:$G26,Crude_Data!$C$5:$F$5)</f>
        <v>3.8000000000000003</v>
      </c>
      <c r="L26" s="23">
        <f>SUMPRODUCT($D26:$G26,Crude_Data!$C$6:$F$6)</f>
        <v>31.599999999999998</v>
      </c>
      <c r="M26" s="23">
        <f>SUMPRODUCT($D26:$G26,Crude_Data!$C$7:$F$7)</f>
        <v>23.3</v>
      </c>
      <c r="N26" s="23">
        <f>SUMPRODUCT($D26:$G26,Crude_Data!$C$8:$F$8)</f>
        <v>38.4</v>
      </c>
      <c r="O26" s="23">
        <f>SUMPRODUCT($D26:$G26,Crude_Data!$C$9:$F$9)</f>
        <v>51.400000000000006</v>
      </c>
      <c r="P26" s="24">
        <f>IF(O26&gt;0,SUMPRODUCT($D26:$G26,Crude_Data!$C$9:$F$9,Crude_Data!$C$12:$F$12)/O26,0)</f>
        <v>1.461089494163424</v>
      </c>
      <c r="Q26" s="23">
        <f>H26*Unit_Data!$D$11</f>
        <v>18.48</v>
      </c>
      <c r="R26" s="23">
        <f>H26*Unit_Data!$D$12</f>
        <v>1.76</v>
      </c>
      <c r="S26" s="23">
        <f>I26*Unit_Data!$D$17</f>
        <v>16.64</v>
      </c>
      <c r="T26" s="23">
        <f>I26*Unit_Data!$D$18</f>
        <v>5.76</v>
      </c>
      <c r="U26" s="23">
        <f>I26*Unit_Data!$D$19</f>
        <v>5.76</v>
      </c>
      <c r="V26" s="23">
        <f>I26*Unit_Data!$D$20</f>
        <v>1.92</v>
      </c>
      <c r="W26" s="23">
        <f t="shared" si="1"/>
        <v>44.16</v>
      </c>
      <c r="X26" s="23">
        <f t="shared" si="2"/>
        <v>11.32</v>
      </c>
      <c r="Y26" s="23">
        <f t="shared" si="7"/>
        <v>9.5999999999999979</v>
      </c>
      <c r="Z26" s="23">
        <f t="shared" si="8"/>
        <v>35.120000000000005</v>
      </c>
      <c r="AA26" s="23">
        <f t="shared" si="3"/>
        <v>23.3</v>
      </c>
      <c r="AB26" s="23">
        <f>W26*Unit_Data!$D$25</f>
        <v>43.276799999999994</v>
      </c>
      <c r="AC26" s="23">
        <f t="shared" si="4"/>
        <v>21.320000000000007</v>
      </c>
      <c r="AD26" s="23">
        <f>IF(Z26&gt;0,(Q26*Unit_Data!$D$26+S26*Unit_Data!$D$27)/Z26,0)</f>
        <v>95.157175398633242</v>
      </c>
      <c r="AE26" s="25">
        <f>SUMPRODUCT(X26:AC26,Product_Data!$C$4:$H$4)</f>
        <v>13345.484</v>
      </c>
      <c r="AF26" s="25">
        <f>SUMPRODUCT(D26:G26,Crude_Data!$C$4:$F$4)</f>
        <v>12095</v>
      </c>
      <c r="AG26" s="25">
        <f>J26*Unit_Data!$D$7+H26*Unit_Data!$D$10+I26*Unit_Data!$D$16+W26*Unit_Data!$D$24</f>
        <v>399.24</v>
      </c>
      <c r="AH26" s="25">
        <f t="shared" si="5"/>
        <v>851.24400000000037</v>
      </c>
      <c r="AI26" s="24">
        <f t="shared" si="6"/>
        <v>5.6749600000000022</v>
      </c>
    </row>
    <row r="27" spans="1:35" x14ac:dyDescent="0.25">
      <c r="A27" s="9">
        <v>23</v>
      </c>
      <c r="B27" s="20">
        <v>46318</v>
      </c>
      <c r="C27" s="21" t="s">
        <v>256</v>
      </c>
      <c r="D27" s="26">
        <v>40</v>
      </c>
      <c r="E27" s="26">
        <v>40</v>
      </c>
      <c r="F27" s="26">
        <v>40</v>
      </c>
      <c r="G27" s="26">
        <v>30</v>
      </c>
      <c r="H27" s="26">
        <v>22</v>
      </c>
      <c r="I27" s="26">
        <v>32</v>
      </c>
      <c r="J27" s="23">
        <f t="shared" si="0"/>
        <v>150</v>
      </c>
      <c r="K27" s="23">
        <f>SUMPRODUCT($D27:$G27,Crude_Data!$C$5:$F$5)</f>
        <v>3.8000000000000003</v>
      </c>
      <c r="L27" s="23">
        <f>SUMPRODUCT($D27:$G27,Crude_Data!$C$6:$F$6)</f>
        <v>31.599999999999998</v>
      </c>
      <c r="M27" s="23">
        <f>SUMPRODUCT($D27:$G27,Crude_Data!$C$7:$F$7)</f>
        <v>23.3</v>
      </c>
      <c r="N27" s="23">
        <f>SUMPRODUCT($D27:$G27,Crude_Data!$C$8:$F$8)</f>
        <v>38.4</v>
      </c>
      <c r="O27" s="23">
        <f>SUMPRODUCT($D27:$G27,Crude_Data!$C$9:$F$9)</f>
        <v>51.400000000000006</v>
      </c>
      <c r="P27" s="24">
        <f>IF(O27&gt;0,SUMPRODUCT($D27:$G27,Crude_Data!$C$9:$F$9,Crude_Data!$C$12:$F$12)/O27,0)</f>
        <v>1.461089494163424</v>
      </c>
      <c r="Q27" s="23">
        <f>H27*Unit_Data!$D$11</f>
        <v>18.48</v>
      </c>
      <c r="R27" s="23">
        <f>H27*Unit_Data!$D$12</f>
        <v>1.76</v>
      </c>
      <c r="S27" s="23">
        <f>I27*Unit_Data!$D$17</f>
        <v>16.64</v>
      </c>
      <c r="T27" s="23">
        <f>I27*Unit_Data!$D$18</f>
        <v>5.76</v>
      </c>
      <c r="U27" s="23">
        <f>I27*Unit_Data!$D$19</f>
        <v>5.76</v>
      </c>
      <c r="V27" s="23">
        <f>I27*Unit_Data!$D$20</f>
        <v>1.92</v>
      </c>
      <c r="W27" s="23">
        <f t="shared" si="1"/>
        <v>44.16</v>
      </c>
      <c r="X27" s="23">
        <f t="shared" si="2"/>
        <v>11.32</v>
      </c>
      <c r="Y27" s="23">
        <f t="shared" si="7"/>
        <v>9.5999999999999979</v>
      </c>
      <c r="Z27" s="23">
        <f t="shared" si="8"/>
        <v>35.120000000000005</v>
      </c>
      <c r="AA27" s="23">
        <f t="shared" si="3"/>
        <v>23.3</v>
      </c>
      <c r="AB27" s="23">
        <f>W27*Unit_Data!$D$25</f>
        <v>43.276799999999994</v>
      </c>
      <c r="AC27" s="23">
        <f t="shared" si="4"/>
        <v>21.320000000000007</v>
      </c>
      <c r="AD27" s="23">
        <f>IF(Z27&gt;0,(Q27*Unit_Data!$D$26+S27*Unit_Data!$D$27)/Z27,0)</f>
        <v>95.157175398633242</v>
      </c>
      <c r="AE27" s="25">
        <f>SUMPRODUCT(X27:AC27,Product_Data!$C$4:$H$4)</f>
        <v>13345.484</v>
      </c>
      <c r="AF27" s="25">
        <f>SUMPRODUCT(D27:G27,Crude_Data!$C$4:$F$4)</f>
        <v>12095</v>
      </c>
      <c r="AG27" s="25">
        <f>J27*Unit_Data!$D$7+H27*Unit_Data!$D$10+I27*Unit_Data!$D$16+W27*Unit_Data!$D$24</f>
        <v>399.24</v>
      </c>
      <c r="AH27" s="25">
        <f t="shared" si="5"/>
        <v>851.24400000000037</v>
      </c>
      <c r="AI27" s="24">
        <f t="shared" si="6"/>
        <v>5.6749600000000022</v>
      </c>
    </row>
    <row r="28" spans="1:35" x14ac:dyDescent="0.25">
      <c r="A28" s="9">
        <v>24</v>
      </c>
      <c r="B28" s="20">
        <v>46319</v>
      </c>
      <c r="C28" s="21" t="s">
        <v>256</v>
      </c>
      <c r="D28" s="26">
        <v>40</v>
      </c>
      <c r="E28" s="26">
        <v>40</v>
      </c>
      <c r="F28" s="26">
        <v>40</v>
      </c>
      <c r="G28" s="26">
        <v>30</v>
      </c>
      <c r="H28" s="26">
        <v>22</v>
      </c>
      <c r="I28" s="26">
        <v>32</v>
      </c>
      <c r="J28" s="23">
        <f t="shared" si="0"/>
        <v>150</v>
      </c>
      <c r="K28" s="23">
        <f>SUMPRODUCT($D28:$G28,Crude_Data!$C$5:$F$5)</f>
        <v>3.8000000000000003</v>
      </c>
      <c r="L28" s="23">
        <f>SUMPRODUCT($D28:$G28,Crude_Data!$C$6:$F$6)</f>
        <v>31.599999999999998</v>
      </c>
      <c r="M28" s="23">
        <f>SUMPRODUCT($D28:$G28,Crude_Data!$C$7:$F$7)</f>
        <v>23.3</v>
      </c>
      <c r="N28" s="23">
        <f>SUMPRODUCT($D28:$G28,Crude_Data!$C$8:$F$8)</f>
        <v>38.4</v>
      </c>
      <c r="O28" s="23">
        <f>SUMPRODUCT($D28:$G28,Crude_Data!$C$9:$F$9)</f>
        <v>51.400000000000006</v>
      </c>
      <c r="P28" s="24">
        <f>IF(O28&gt;0,SUMPRODUCT($D28:$G28,Crude_Data!$C$9:$F$9,Crude_Data!$C$12:$F$12)/O28,0)</f>
        <v>1.461089494163424</v>
      </c>
      <c r="Q28" s="23">
        <f>H28*Unit_Data!$D$11</f>
        <v>18.48</v>
      </c>
      <c r="R28" s="23">
        <f>H28*Unit_Data!$D$12</f>
        <v>1.76</v>
      </c>
      <c r="S28" s="23">
        <f>I28*Unit_Data!$D$17</f>
        <v>16.64</v>
      </c>
      <c r="T28" s="23">
        <f>I28*Unit_Data!$D$18</f>
        <v>5.76</v>
      </c>
      <c r="U28" s="23">
        <f>I28*Unit_Data!$D$19</f>
        <v>5.76</v>
      </c>
      <c r="V28" s="23">
        <f>I28*Unit_Data!$D$20</f>
        <v>1.92</v>
      </c>
      <c r="W28" s="23">
        <f t="shared" si="1"/>
        <v>44.16</v>
      </c>
      <c r="X28" s="23">
        <f t="shared" si="2"/>
        <v>11.32</v>
      </c>
      <c r="Y28" s="23">
        <f t="shared" si="7"/>
        <v>9.5999999999999979</v>
      </c>
      <c r="Z28" s="23">
        <f t="shared" si="8"/>
        <v>35.120000000000005</v>
      </c>
      <c r="AA28" s="23">
        <f t="shared" si="3"/>
        <v>23.3</v>
      </c>
      <c r="AB28" s="23">
        <f>W28*Unit_Data!$D$25</f>
        <v>43.276799999999994</v>
      </c>
      <c r="AC28" s="23">
        <f t="shared" si="4"/>
        <v>21.320000000000007</v>
      </c>
      <c r="AD28" s="23">
        <f>IF(Z28&gt;0,(Q28*Unit_Data!$D$26+S28*Unit_Data!$D$27)/Z28,0)</f>
        <v>95.157175398633242</v>
      </c>
      <c r="AE28" s="25">
        <f>SUMPRODUCT(X28:AC28,Product_Data!$C$4:$H$4)</f>
        <v>13345.484</v>
      </c>
      <c r="AF28" s="25">
        <f>SUMPRODUCT(D28:G28,Crude_Data!$C$4:$F$4)</f>
        <v>12095</v>
      </c>
      <c r="AG28" s="25">
        <f>J28*Unit_Data!$D$7+H28*Unit_Data!$D$10+I28*Unit_Data!$D$16+W28*Unit_Data!$D$24</f>
        <v>399.24</v>
      </c>
      <c r="AH28" s="25">
        <f t="shared" si="5"/>
        <v>851.24400000000037</v>
      </c>
      <c r="AI28" s="24">
        <f t="shared" si="6"/>
        <v>5.6749600000000022</v>
      </c>
    </row>
    <row r="29" spans="1:35" x14ac:dyDescent="0.25">
      <c r="A29" s="9">
        <v>25</v>
      </c>
      <c r="B29" s="20">
        <v>46320</v>
      </c>
      <c r="C29" s="21" t="s">
        <v>256</v>
      </c>
      <c r="D29" s="26">
        <v>40</v>
      </c>
      <c r="E29" s="26">
        <v>40</v>
      </c>
      <c r="F29" s="26">
        <v>40</v>
      </c>
      <c r="G29" s="26">
        <v>30</v>
      </c>
      <c r="H29" s="26">
        <v>22</v>
      </c>
      <c r="I29" s="26">
        <v>32</v>
      </c>
      <c r="J29" s="23">
        <f t="shared" si="0"/>
        <v>150</v>
      </c>
      <c r="K29" s="23">
        <f>SUMPRODUCT($D29:$G29,Crude_Data!$C$5:$F$5)</f>
        <v>3.8000000000000003</v>
      </c>
      <c r="L29" s="23">
        <f>SUMPRODUCT($D29:$G29,Crude_Data!$C$6:$F$6)</f>
        <v>31.599999999999998</v>
      </c>
      <c r="M29" s="23">
        <f>SUMPRODUCT($D29:$G29,Crude_Data!$C$7:$F$7)</f>
        <v>23.3</v>
      </c>
      <c r="N29" s="23">
        <f>SUMPRODUCT($D29:$G29,Crude_Data!$C$8:$F$8)</f>
        <v>38.4</v>
      </c>
      <c r="O29" s="23">
        <f>SUMPRODUCT($D29:$G29,Crude_Data!$C$9:$F$9)</f>
        <v>51.400000000000006</v>
      </c>
      <c r="P29" s="24">
        <f>IF(O29&gt;0,SUMPRODUCT($D29:$G29,Crude_Data!$C$9:$F$9,Crude_Data!$C$12:$F$12)/O29,0)</f>
        <v>1.461089494163424</v>
      </c>
      <c r="Q29" s="23">
        <f>H29*Unit_Data!$D$11</f>
        <v>18.48</v>
      </c>
      <c r="R29" s="23">
        <f>H29*Unit_Data!$D$12</f>
        <v>1.76</v>
      </c>
      <c r="S29" s="23">
        <f>I29*Unit_Data!$D$17</f>
        <v>16.64</v>
      </c>
      <c r="T29" s="23">
        <f>I29*Unit_Data!$D$18</f>
        <v>5.76</v>
      </c>
      <c r="U29" s="23">
        <f>I29*Unit_Data!$D$19</f>
        <v>5.76</v>
      </c>
      <c r="V29" s="23">
        <f>I29*Unit_Data!$D$20</f>
        <v>1.92</v>
      </c>
      <c r="W29" s="23">
        <f t="shared" si="1"/>
        <v>44.16</v>
      </c>
      <c r="X29" s="23">
        <f t="shared" si="2"/>
        <v>11.32</v>
      </c>
      <c r="Y29" s="23">
        <f t="shared" si="7"/>
        <v>9.5999999999999979</v>
      </c>
      <c r="Z29" s="23">
        <f t="shared" si="8"/>
        <v>35.120000000000005</v>
      </c>
      <c r="AA29" s="23">
        <f t="shared" si="3"/>
        <v>23.3</v>
      </c>
      <c r="AB29" s="23">
        <f>W29*Unit_Data!$D$25</f>
        <v>43.276799999999994</v>
      </c>
      <c r="AC29" s="23">
        <f t="shared" si="4"/>
        <v>21.320000000000007</v>
      </c>
      <c r="AD29" s="23">
        <f>IF(Z29&gt;0,(Q29*Unit_Data!$D$26+S29*Unit_Data!$D$27)/Z29,0)</f>
        <v>95.157175398633242</v>
      </c>
      <c r="AE29" s="25">
        <f>SUMPRODUCT(X29:AC29,Product_Data!$C$4:$H$4)</f>
        <v>13345.484</v>
      </c>
      <c r="AF29" s="25">
        <f>SUMPRODUCT(D29:G29,Crude_Data!$C$4:$F$4)</f>
        <v>12095</v>
      </c>
      <c r="AG29" s="25">
        <f>J29*Unit_Data!$D$7+H29*Unit_Data!$D$10+I29*Unit_Data!$D$16+W29*Unit_Data!$D$24</f>
        <v>399.24</v>
      </c>
      <c r="AH29" s="25">
        <f t="shared" si="5"/>
        <v>851.24400000000037</v>
      </c>
      <c r="AI29" s="24">
        <f t="shared" si="6"/>
        <v>5.6749600000000022</v>
      </c>
    </row>
    <row r="30" spans="1:35" x14ac:dyDescent="0.25">
      <c r="A30" s="9">
        <v>26</v>
      </c>
      <c r="B30" s="20">
        <v>46321</v>
      </c>
      <c r="C30" s="21" t="s">
        <v>256</v>
      </c>
      <c r="D30" s="26">
        <v>40</v>
      </c>
      <c r="E30" s="26">
        <v>40</v>
      </c>
      <c r="F30" s="26">
        <v>40</v>
      </c>
      <c r="G30" s="26">
        <v>30</v>
      </c>
      <c r="H30" s="26">
        <v>22</v>
      </c>
      <c r="I30" s="26">
        <v>32</v>
      </c>
      <c r="J30" s="23">
        <f t="shared" si="0"/>
        <v>150</v>
      </c>
      <c r="K30" s="23">
        <f>SUMPRODUCT($D30:$G30,Crude_Data!$C$5:$F$5)</f>
        <v>3.8000000000000003</v>
      </c>
      <c r="L30" s="23">
        <f>SUMPRODUCT($D30:$G30,Crude_Data!$C$6:$F$6)</f>
        <v>31.599999999999998</v>
      </c>
      <c r="M30" s="23">
        <f>SUMPRODUCT($D30:$G30,Crude_Data!$C$7:$F$7)</f>
        <v>23.3</v>
      </c>
      <c r="N30" s="23">
        <f>SUMPRODUCT($D30:$G30,Crude_Data!$C$8:$F$8)</f>
        <v>38.4</v>
      </c>
      <c r="O30" s="23">
        <f>SUMPRODUCT($D30:$G30,Crude_Data!$C$9:$F$9)</f>
        <v>51.400000000000006</v>
      </c>
      <c r="P30" s="24">
        <f>IF(O30&gt;0,SUMPRODUCT($D30:$G30,Crude_Data!$C$9:$F$9,Crude_Data!$C$12:$F$12)/O30,0)</f>
        <v>1.461089494163424</v>
      </c>
      <c r="Q30" s="23">
        <f>H30*Unit_Data!$D$11</f>
        <v>18.48</v>
      </c>
      <c r="R30" s="23">
        <f>H30*Unit_Data!$D$12</f>
        <v>1.76</v>
      </c>
      <c r="S30" s="23">
        <f>I30*Unit_Data!$D$17</f>
        <v>16.64</v>
      </c>
      <c r="T30" s="23">
        <f>I30*Unit_Data!$D$18</f>
        <v>5.76</v>
      </c>
      <c r="U30" s="23">
        <f>I30*Unit_Data!$D$19</f>
        <v>5.76</v>
      </c>
      <c r="V30" s="23">
        <f>I30*Unit_Data!$D$20</f>
        <v>1.92</v>
      </c>
      <c r="W30" s="23">
        <f t="shared" si="1"/>
        <v>44.16</v>
      </c>
      <c r="X30" s="23">
        <f t="shared" si="2"/>
        <v>11.32</v>
      </c>
      <c r="Y30" s="23">
        <f t="shared" si="7"/>
        <v>9.5999999999999979</v>
      </c>
      <c r="Z30" s="23">
        <f t="shared" si="8"/>
        <v>35.120000000000005</v>
      </c>
      <c r="AA30" s="23">
        <f t="shared" si="3"/>
        <v>23.3</v>
      </c>
      <c r="AB30" s="23">
        <f>W30*Unit_Data!$D$25</f>
        <v>43.276799999999994</v>
      </c>
      <c r="AC30" s="23">
        <f t="shared" si="4"/>
        <v>21.320000000000007</v>
      </c>
      <c r="AD30" s="23">
        <f>IF(Z30&gt;0,(Q30*Unit_Data!$D$26+S30*Unit_Data!$D$27)/Z30,0)</f>
        <v>95.157175398633242</v>
      </c>
      <c r="AE30" s="25">
        <f>SUMPRODUCT(X30:AC30,Product_Data!$C$4:$H$4)</f>
        <v>13345.484</v>
      </c>
      <c r="AF30" s="25">
        <f>SUMPRODUCT(D30:G30,Crude_Data!$C$4:$F$4)</f>
        <v>12095</v>
      </c>
      <c r="AG30" s="25">
        <f>J30*Unit_Data!$D$7+H30*Unit_Data!$D$10+I30*Unit_Data!$D$16+W30*Unit_Data!$D$24</f>
        <v>399.24</v>
      </c>
      <c r="AH30" s="25">
        <f t="shared" si="5"/>
        <v>851.24400000000037</v>
      </c>
      <c r="AI30" s="24">
        <f t="shared" si="6"/>
        <v>5.6749600000000022</v>
      </c>
    </row>
    <row r="31" spans="1:35" x14ac:dyDescent="0.25">
      <c r="A31" s="9">
        <v>27</v>
      </c>
      <c r="B31" s="20">
        <v>46322</v>
      </c>
      <c r="C31" s="21" t="s">
        <v>256</v>
      </c>
      <c r="D31" s="26">
        <v>40</v>
      </c>
      <c r="E31" s="26">
        <v>40</v>
      </c>
      <c r="F31" s="26">
        <v>40</v>
      </c>
      <c r="G31" s="26">
        <v>30</v>
      </c>
      <c r="H31" s="26">
        <v>22</v>
      </c>
      <c r="I31" s="26">
        <v>32</v>
      </c>
      <c r="J31" s="23">
        <f t="shared" si="0"/>
        <v>150</v>
      </c>
      <c r="K31" s="23">
        <f>SUMPRODUCT($D31:$G31,Crude_Data!$C$5:$F$5)</f>
        <v>3.8000000000000003</v>
      </c>
      <c r="L31" s="23">
        <f>SUMPRODUCT($D31:$G31,Crude_Data!$C$6:$F$6)</f>
        <v>31.599999999999998</v>
      </c>
      <c r="M31" s="23">
        <f>SUMPRODUCT($D31:$G31,Crude_Data!$C$7:$F$7)</f>
        <v>23.3</v>
      </c>
      <c r="N31" s="23">
        <f>SUMPRODUCT($D31:$G31,Crude_Data!$C$8:$F$8)</f>
        <v>38.4</v>
      </c>
      <c r="O31" s="23">
        <f>SUMPRODUCT($D31:$G31,Crude_Data!$C$9:$F$9)</f>
        <v>51.400000000000006</v>
      </c>
      <c r="P31" s="24">
        <f>IF(O31&gt;0,SUMPRODUCT($D31:$G31,Crude_Data!$C$9:$F$9,Crude_Data!$C$12:$F$12)/O31,0)</f>
        <v>1.461089494163424</v>
      </c>
      <c r="Q31" s="23">
        <f>H31*Unit_Data!$D$11</f>
        <v>18.48</v>
      </c>
      <c r="R31" s="23">
        <f>H31*Unit_Data!$D$12</f>
        <v>1.76</v>
      </c>
      <c r="S31" s="23">
        <f>I31*Unit_Data!$D$17</f>
        <v>16.64</v>
      </c>
      <c r="T31" s="23">
        <f>I31*Unit_Data!$D$18</f>
        <v>5.76</v>
      </c>
      <c r="U31" s="23">
        <f>I31*Unit_Data!$D$19</f>
        <v>5.76</v>
      </c>
      <c r="V31" s="23">
        <f>I31*Unit_Data!$D$20</f>
        <v>1.92</v>
      </c>
      <c r="W31" s="23">
        <f t="shared" si="1"/>
        <v>44.16</v>
      </c>
      <c r="X31" s="23">
        <f t="shared" si="2"/>
        <v>11.32</v>
      </c>
      <c r="Y31" s="23">
        <f t="shared" si="7"/>
        <v>9.5999999999999979</v>
      </c>
      <c r="Z31" s="23">
        <f t="shared" si="8"/>
        <v>35.120000000000005</v>
      </c>
      <c r="AA31" s="23">
        <f t="shared" si="3"/>
        <v>23.3</v>
      </c>
      <c r="AB31" s="23">
        <f>W31*Unit_Data!$D$25</f>
        <v>43.276799999999994</v>
      </c>
      <c r="AC31" s="23">
        <f t="shared" si="4"/>
        <v>21.320000000000007</v>
      </c>
      <c r="AD31" s="23">
        <f>IF(Z31&gt;0,(Q31*Unit_Data!$D$26+S31*Unit_Data!$D$27)/Z31,0)</f>
        <v>95.157175398633242</v>
      </c>
      <c r="AE31" s="25">
        <f>SUMPRODUCT(X31:AC31,Product_Data!$C$4:$H$4)</f>
        <v>13345.484</v>
      </c>
      <c r="AF31" s="25">
        <f>SUMPRODUCT(D31:G31,Crude_Data!$C$4:$F$4)</f>
        <v>12095</v>
      </c>
      <c r="AG31" s="25">
        <f>J31*Unit_Data!$D$7+H31*Unit_Data!$D$10+I31*Unit_Data!$D$16+W31*Unit_Data!$D$24</f>
        <v>399.24</v>
      </c>
      <c r="AH31" s="25">
        <f t="shared" si="5"/>
        <v>851.24400000000037</v>
      </c>
      <c r="AI31" s="24">
        <f t="shared" si="6"/>
        <v>5.6749600000000022</v>
      </c>
    </row>
    <row r="32" spans="1:35" x14ac:dyDescent="0.25">
      <c r="A32" s="9">
        <v>28</v>
      </c>
      <c r="B32" s="20">
        <v>46323</v>
      </c>
      <c r="C32" s="21" t="s">
        <v>256</v>
      </c>
      <c r="D32" s="26">
        <v>40</v>
      </c>
      <c r="E32" s="26">
        <v>40</v>
      </c>
      <c r="F32" s="26">
        <v>40</v>
      </c>
      <c r="G32" s="26">
        <v>30</v>
      </c>
      <c r="H32" s="26">
        <v>22</v>
      </c>
      <c r="I32" s="26">
        <v>32</v>
      </c>
      <c r="J32" s="23">
        <f t="shared" si="0"/>
        <v>150</v>
      </c>
      <c r="K32" s="23">
        <f>SUMPRODUCT($D32:$G32,Crude_Data!$C$5:$F$5)</f>
        <v>3.8000000000000003</v>
      </c>
      <c r="L32" s="23">
        <f>SUMPRODUCT($D32:$G32,Crude_Data!$C$6:$F$6)</f>
        <v>31.599999999999998</v>
      </c>
      <c r="M32" s="23">
        <f>SUMPRODUCT($D32:$G32,Crude_Data!$C$7:$F$7)</f>
        <v>23.3</v>
      </c>
      <c r="N32" s="23">
        <f>SUMPRODUCT($D32:$G32,Crude_Data!$C$8:$F$8)</f>
        <v>38.4</v>
      </c>
      <c r="O32" s="23">
        <f>SUMPRODUCT($D32:$G32,Crude_Data!$C$9:$F$9)</f>
        <v>51.400000000000006</v>
      </c>
      <c r="P32" s="24">
        <f>IF(O32&gt;0,SUMPRODUCT($D32:$G32,Crude_Data!$C$9:$F$9,Crude_Data!$C$12:$F$12)/O32,0)</f>
        <v>1.461089494163424</v>
      </c>
      <c r="Q32" s="23">
        <f>H32*Unit_Data!$D$11</f>
        <v>18.48</v>
      </c>
      <c r="R32" s="23">
        <f>H32*Unit_Data!$D$12</f>
        <v>1.76</v>
      </c>
      <c r="S32" s="23">
        <f>I32*Unit_Data!$D$17</f>
        <v>16.64</v>
      </c>
      <c r="T32" s="23">
        <f>I32*Unit_Data!$D$18</f>
        <v>5.76</v>
      </c>
      <c r="U32" s="23">
        <f>I32*Unit_Data!$D$19</f>
        <v>5.76</v>
      </c>
      <c r="V32" s="23">
        <f>I32*Unit_Data!$D$20</f>
        <v>1.92</v>
      </c>
      <c r="W32" s="23">
        <f t="shared" si="1"/>
        <v>44.16</v>
      </c>
      <c r="X32" s="23">
        <f t="shared" si="2"/>
        <v>11.32</v>
      </c>
      <c r="Y32" s="23">
        <f t="shared" si="7"/>
        <v>9.5999999999999979</v>
      </c>
      <c r="Z32" s="23">
        <f t="shared" si="8"/>
        <v>35.120000000000005</v>
      </c>
      <c r="AA32" s="23">
        <f t="shared" si="3"/>
        <v>23.3</v>
      </c>
      <c r="AB32" s="23">
        <f>W32*Unit_Data!$D$25</f>
        <v>43.276799999999994</v>
      </c>
      <c r="AC32" s="23">
        <f t="shared" si="4"/>
        <v>21.320000000000007</v>
      </c>
      <c r="AD32" s="23">
        <f>IF(Z32&gt;0,(Q32*Unit_Data!$D$26+S32*Unit_Data!$D$27)/Z32,0)</f>
        <v>95.157175398633242</v>
      </c>
      <c r="AE32" s="25">
        <f>SUMPRODUCT(X32:AC32,Product_Data!$C$4:$H$4)</f>
        <v>13345.484</v>
      </c>
      <c r="AF32" s="25">
        <f>SUMPRODUCT(D32:G32,Crude_Data!$C$4:$F$4)</f>
        <v>12095</v>
      </c>
      <c r="AG32" s="25">
        <f>J32*Unit_Data!$D$7+H32*Unit_Data!$D$10+I32*Unit_Data!$D$16+W32*Unit_Data!$D$24</f>
        <v>399.24</v>
      </c>
      <c r="AH32" s="25">
        <f t="shared" si="5"/>
        <v>851.24400000000037</v>
      </c>
      <c r="AI32" s="24">
        <f t="shared" si="6"/>
        <v>5.6749600000000022</v>
      </c>
    </row>
    <row r="33" spans="1:35" x14ac:dyDescent="0.25">
      <c r="A33" s="9">
        <v>29</v>
      </c>
      <c r="B33" s="20">
        <v>46324</v>
      </c>
      <c r="C33" s="21" t="s">
        <v>256</v>
      </c>
      <c r="D33" s="26">
        <v>40</v>
      </c>
      <c r="E33" s="26">
        <v>40</v>
      </c>
      <c r="F33" s="26">
        <v>40</v>
      </c>
      <c r="G33" s="26">
        <v>30</v>
      </c>
      <c r="H33" s="26">
        <v>22</v>
      </c>
      <c r="I33" s="26">
        <v>32</v>
      </c>
      <c r="J33" s="23">
        <f t="shared" si="0"/>
        <v>150</v>
      </c>
      <c r="K33" s="23">
        <f>SUMPRODUCT($D33:$G33,Crude_Data!$C$5:$F$5)</f>
        <v>3.8000000000000003</v>
      </c>
      <c r="L33" s="23">
        <f>SUMPRODUCT($D33:$G33,Crude_Data!$C$6:$F$6)</f>
        <v>31.599999999999998</v>
      </c>
      <c r="M33" s="23">
        <f>SUMPRODUCT($D33:$G33,Crude_Data!$C$7:$F$7)</f>
        <v>23.3</v>
      </c>
      <c r="N33" s="23">
        <f>SUMPRODUCT($D33:$G33,Crude_Data!$C$8:$F$8)</f>
        <v>38.4</v>
      </c>
      <c r="O33" s="23">
        <f>SUMPRODUCT($D33:$G33,Crude_Data!$C$9:$F$9)</f>
        <v>51.400000000000006</v>
      </c>
      <c r="P33" s="24">
        <f>IF(O33&gt;0,SUMPRODUCT($D33:$G33,Crude_Data!$C$9:$F$9,Crude_Data!$C$12:$F$12)/O33,0)</f>
        <v>1.461089494163424</v>
      </c>
      <c r="Q33" s="23">
        <f>H33*Unit_Data!$D$11</f>
        <v>18.48</v>
      </c>
      <c r="R33" s="23">
        <f>H33*Unit_Data!$D$12</f>
        <v>1.76</v>
      </c>
      <c r="S33" s="23">
        <f>I33*Unit_Data!$D$17</f>
        <v>16.64</v>
      </c>
      <c r="T33" s="23">
        <f>I33*Unit_Data!$D$18</f>
        <v>5.76</v>
      </c>
      <c r="U33" s="23">
        <f>I33*Unit_Data!$D$19</f>
        <v>5.76</v>
      </c>
      <c r="V33" s="23">
        <f>I33*Unit_Data!$D$20</f>
        <v>1.92</v>
      </c>
      <c r="W33" s="23">
        <f t="shared" si="1"/>
        <v>44.16</v>
      </c>
      <c r="X33" s="23">
        <f t="shared" si="2"/>
        <v>11.32</v>
      </c>
      <c r="Y33" s="23">
        <f t="shared" si="7"/>
        <v>9.5999999999999979</v>
      </c>
      <c r="Z33" s="23">
        <f t="shared" si="8"/>
        <v>35.120000000000005</v>
      </c>
      <c r="AA33" s="23">
        <f t="shared" si="3"/>
        <v>23.3</v>
      </c>
      <c r="AB33" s="23">
        <f>W33*Unit_Data!$D$25</f>
        <v>43.276799999999994</v>
      </c>
      <c r="AC33" s="23">
        <f t="shared" si="4"/>
        <v>21.320000000000007</v>
      </c>
      <c r="AD33" s="23">
        <f>IF(Z33&gt;0,(Q33*Unit_Data!$D$26+S33*Unit_Data!$D$27)/Z33,0)</f>
        <v>95.157175398633242</v>
      </c>
      <c r="AE33" s="25">
        <f>SUMPRODUCT(X33:AC33,Product_Data!$C$4:$H$4)</f>
        <v>13345.484</v>
      </c>
      <c r="AF33" s="25">
        <f>SUMPRODUCT(D33:G33,Crude_Data!$C$4:$F$4)</f>
        <v>12095</v>
      </c>
      <c r="AG33" s="25">
        <f>J33*Unit_Data!$D$7+H33*Unit_Data!$D$10+I33*Unit_Data!$D$16+W33*Unit_Data!$D$24</f>
        <v>399.24</v>
      </c>
      <c r="AH33" s="25">
        <f t="shared" si="5"/>
        <v>851.24400000000037</v>
      </c>
      <c r="AI33" s="24">
        <f t="shared" si="6"/>
        <v>5.6749600000000022</v>
      </c>
    </row>
    <row r="34" spans="1:35" x14ac:dyDescent="0.25">
      <c r="A34" s="9">
        <v>30</v>
      </c>
      <c r="B34" s="20">
        <v>46325</v>
      </c>
      <c r="C34" s="21" t="s">
        <v>256</v>
      </c>
      <c r="D34" s="26">
        <v>40</v>
      </c>
      <c r="E34" s="26">
        <v>40</v>
      </c>
      <c r="F34" s="26">
        <v>40</v>
      </c>
      <c r="G34" s="26">
        <v>30</v>
      </c>
      <c r="H34" s="26">
        <v>22</v>
      </c>
      <c r="I34" s="26">
        <v>32</v>
      </c>
      <c r="J34" s="23">
        <f t="shared" si="0"/>
        <v>150</v>
      </c>
      <c r="K34" s="23">
        <f>SUMPRODUCT($D34:$G34,Crude_Data!$C$5:$F$5)</f>
        <v>3.8000000000000003</v>
      </c>
      <c r="L34" s="23">
        <f>SUMPRODUCT($D34:$G34,Crude_Data!$C$6:$F$6)</f>
        <v>31.599999999999998</v>
      </c>
      <c r="M34" s="23">
        <f>SUMPRODUCT($D34:$G34,Crude_Data!$C$7:$F$7)</f>
        <v>23.3</v>
      </c>
      <c r="N34" s="23">
        <f>SUMPRODUCT($D34:$G34,Crude_Data!$C$8:$F$8)</f>
        <v>38.4</v>
      </c>
      <c r="O34" s="23">
        <f>SUMPRODUCT($D34:$G34,Crude_Data!$C$9:$F$9)</f>
        <v>51.400000000000006</v>
      </c>
      <c r="P34" s="24">
        <f>IF(O34&gt;0,SUMPRODUCT($D34:$G34,Crude_Data!$C$9:$F$9,Crude_Data!$C$12:$F$12)/O34,0)</f>
        <v>1.461089494163424</v>
      </c>
      <c r="Q34" s="23">
        <f>H34*Unit_Data!$D$11</f>
        <v>18.48</v>
      </c>
      <c r="R34" s="23">
        <f>H34*Unit_Data!$D$12</f>
        <v>1.76</v>
      </c>
      <c r="S34" s="23">
        <f>I34*Unit_Data!$D$17</f>
        <v>16.64</v>
      </c>
      <c r="T34" s="23">
        <f>I34*Unit_Data!$D$18</f>
        <v>5.76</v>
      </c>
      <c r="U34" s="23">
        <f>I34*Unit_Data!$D$19</f>
        <v>5.76</v>
      </c>
      <c r="V34" s="23">
        <f>I34*Unit_Data!$D$20</f>
        <v>1.92</v>
      </c>
      <c r="W34" s="23">
        <f t="shared" si="1"/>
        <v>44.16</v>
      </c>
      <c r="X34" s="23">
        <f t="shared" si="2"/>
        <v>11.32</v>
      </c>
      <c r="Y34" s="23">
        <f t="shared" si="7"/>
        <v>9.5999999999999979</v>
      </c>
      <c r="Z34" s="23">
        <f t="shared" si="8"/>
        <v>35.120000000000005</v>
      </c>
      <c r="AA34" s="23">
        <f t="shared" si="3"/>
        <v>23.3</v>
      </c>
      <c r="AB34" s="23">
        <f>W34*Unit_Data!$D$25</f>
        <v>43.276799999999994</v>
      </c>
      <c r="AC34" s="23">
        <f t="shared" si="4"/>
        <v>21.320000000000007</v>
      </c>
      <c r="AD34" s="23">
        <f>IF(Z34&gt;0,(Q34*Unit_Data!$D$26+S34*Unit_Data!$D$27)/Z34,0)</f>
        <v>95.157175398633242</v>
      </c>
      <c r="AE34" s="25">
        <f>SUMPRODUCT(X34:AC34,Product_Data!$C$4:$H$4)</f>
        <v>13345.484</v>
      </c>
      <c r="AF34" s="25">
        <f>SUMPRODUCT(D34:G34,Crude_Data!$C$4:$F$4)</f>
        <v>12095</v>
      </c>
      <c r="AG34" s="25">
        <f>J34*Unit_Data!$D$7+H34*Unit_Data!$D$10+I34*Unit_Data!$D$16+W34*Unit_Data!$D$24</f>
        <v>399.24</v>
      </c>
      <c r="AH34" s="25">
        <f t="shared" si="5"/>
        <v>851.24400000000037</v>
      </c>
      <c r="AI34" s="24">
        <f t="shared" si="6"/>
        <v>5.6749600000000022</v>
      </c>
    </row>
    <row r="35" spans="1:35" x14ac:dyDescent="0.25">
      <c r="A35" s="9">
        <v>31</v>
      </c>
      <c r="B35" s="20">
        <v>46326</v>
      </c>
      <c r="C35" s="21" t="s">
        <v>256</v>
      </c>
      <c r="D35" s="26">
        <v>40</v>
      </c>
      <c r="E35" s="26">
        <v>40</v>
      </c>
      <c r="F35" s="26">
        <v>40</v>
      </c>
      <c r="G35" s="26">
        <v>30</v>
      </c>
      <c r="H35" s="26">
        <v>22</v>
      </c>
      <c r="I35" s="26">
        <v>32</v>
      </c>
      <c r="J35" s="23">
        <f t="shared" si="0"/>
        <v>150</v>
      </c>
      <c r="K35" s="23">
        <f>SUMPRODUCT($D35:$G35,Crude_Data!$C$5:$F$5)</f>
        <v>3.8000000000000003</v>
      </c>
      <c r="L35" s="23">
        <f>SUMPRODUCT($D35:$G35,Crude_Data!$C$6:$F$6)</f>
        <v>31.599999999999998</v>
      </c>
      <c r="M35" s="23">
        <f>SUMPRODUCT($D35:$G35,Crude_Data!$C$7:$F$7)</f>
        <v>23.3</v>
      </c>
      <c r="N35" s="23">
        <f>SUMPRODUCT($D35:$G35,Crude_Data!$C$8:$F$8)</f>
        <v>38.4</v>
      </c>
      <c r="O35" s="23">
        <f>SUMPRODUCT($D35:$G35,Crude_Data!$C$9:$F$9)</f>
        <v>51.400000000000006</v>
      </c>
      <c r="P35" s="24">
        <f>IF(O35&gt;0,SUMPRODUCT($D35:$G35,Crude_Data!$C$9:$F$9,Crude_Data!$C$12:$F$12)/O35,0)</f>
        <v>1.461089494163424</v>
      </c>
      <c r="Q35" s="23">
        <f>H35*Unit_Data!$D$11</f>
        <v>18.48</v>
      </c>
      <c r="R35" s="23">
        <f>H35*Unit_Data!$D$12</f>
        <v>1.76</v>
      </c>
      <c r="S35" s="23">
        <f>I35*Unit_Data!$D$17</f>
        <v>16.64</v>
      </c>
      <c r="T35" s="23">
        <f>I35*Unit_Data!$D$18</f>
        <v>5.76</v>
      </c>
      <c r="U35" s="23">
        <f>I35*Unit_Data!$D$19</f>
        <v>5.76</v>
      </c>
      <c r="V35" s="23">
        <f>I35*Unit_Data!$D$20</f>
        <v>1.92</v>
      </c>
      <c r="W35" s="23">
        <f t="shared" si="1"/>
        <v>44.16</v>
      </c>
      <c r="X35" s="23">
        <f t="shared" si="2"/>
        <v>11.32</v>
      </c>
      <c r="Y35" s="23">
        <f t="shared" si="7"/>
        <v>9.5999999999999979</v>
      </c>
      <c r="Z35" s="23">
        <f t="shared" si="8"/>
        <v>35.120000000000005</v>
      </c>
      <c r="AA35" s="23">
        <f t="shared" si="3"/>
        <v>23.3</v>
      </c>
      <c r="AB35" s="23">
        <f>W35*Unit_Data!$D$25</f>
        <v>43.276799999999994</v>
      </c>
      <c r="AC35" s="23">
        <f t="shared" si="4"/>
        <v>21.320000000000007</v>
      </c>
      <c r="AD35" s="23">
        <f>IF(Z35&gt;0,(Q35*Unit_Data!$D$26+S35*Unit_Data!$D$27)/Z35,0)</f>
        <v>95.157175398633242</v>
      </c>
      <c r="AE35" s="25">
        <f>SUMPRODUCT(X35:AC35,Product_Data!$C$4:$H$4)</f>
        <v>13345.484</v>
      </c>
      <c r="AF35" s="25">
        <f>SUMPRODUCT(D35:G35,Crude_Data!$C$4:$F$4)</f>
        <v>12095</v>
      </c>
      <c r="AG35" s="25">
        <f>J35*Unit_Data!$D$7+H35*Unit_Data!$D$10+I35*Unit_Data!$D$16+W35*Unit_Data!$D$24</f>
        <v>399.24</v>
      </c>
      <c r="AH35" s="25">
        <f t="shared" si="5"/>
        <v>851.24400000000037</v>
      </c>
      <c r="AI35" s="24">
        <f t="shared" si="6"/>
        <v>5.6749600000000022</v>
      </c>
    </row>
    <row r="36" spans="1:35" x14ac:dyDescent="0.25">
      <c r="A36" s="27" t="s">
        <v>257</v>
      </c>
      <c r="B36" s="28"/>
      <c r="C36" s="27" t="s">
        <v>258</v>
      </c>
      <c r="D36" s="29">
        <f t="shared" ref="D36:O36" si="9">SUM(D5:D35)</f>
        <v>1231</v>
      </c>
      <c r="E36" s="29">
        <f t="shared" si="9"/>
        <v>1222</v>
      </c>
      <c r="F36" s="29">
        <f t="shared" si="9"/>
        <v>1236</v>
      </c>
      <c r="G36" s="29">
        <f t="shared" si="9"/>
        <v>921</v>
      </c>
      <c r="H36" s="29">
        <f t="shared" si="9"/>
        <v>678</v>
      </c>
      <c r="I36" s="29">
        <f t="shared" si="9"/>
        <v>987</v>
      </c>
      <c r="J36" s="29">
        <f t="shared" si="9"/>
        <v>4610</v>
      </c>
      <c r="K36" s="29">
        <f t="shared" si="9"/>
        <v>116.77999999999994</v>
      </c>
      <c r="L36" s="29">
        <f t="shared" si="9"/>
        <v>970.98000000000047</v>
      </c>
      <c r="M36" s="29">
        <f t="shared" si="9"/>
        <v>716.12999999999977</v>
      </c>
      <c r="N36" s="29">
        <f t="shared" si="9"/>
        <v>1180.56</v>
      </c>
      <c r="O36" s="29">
        <f t="shared" si="9"/>
        <v>1579.4500000000007</v>
      </c>
      <c r="P36" s="30">
        <f>AVERAGE(P5:P35)</f>
        <v>1.4607668452209801</v>
      </c>
      <c r="Q36" s="29">
        <f t="shared" ref="Q36:AC36" si="10">SUM(Q5:Q35)</f>
        <v>569.52000000000021</v>
      </c>
      <c r="R36" s="29">
        <f t="shared" si="10"/>
        <v>54.239999999999988</v>
      </c>
      <c r="S36" s="29">
        <f t="shared" si="10"/>
        <v>513.23999999999978</v>
      </c>
      <c r="T36" s="29">
        <f t="shared" si="10"/>
        <v>177.65999999999997</v>
      </c>
      <c r="U36" s="29">
        <f t="shared" si="10"/>
        <v>177.65999999999997</v>
      </c>
      <c r="V36" s="29">
        <f t="shared" si="10"/>
        <v>59.220000000000034</v>
      </c>
      <c r="W36" s="29">
        <f t="shared" si="10"/>
        <v>1358.22</v>
      </c>
      <c r="X36" s="29">
        <f t="shared" si="10"/>
        <v>348.67999999999989</v>
      </c>
      <c r="Y36" s="29">
        <f t="shared" si="10"/>
        <v>292.97999999999996</v>
      </c>
      <c r="Z36" s="29">
        <f t="shared" si="10"/>
        <v>1082.7600000000002</v>
      </c>
      <c r="AA36" s="29">
        <f t="shared" si="10"/>
        <v>716.12999999999977</v>
      </c>
      <c r="AB36" s="29">
        <f t="shared" si="10"/>
        <v>1331.0556000000004</v>
      </c>
      <c r="AC36" s="29">
        <f t="shared" si="10"/>
        <v>651.6700000000003</v>
      </c>
      <c r="AD36" s="29">
        <f>AVERAGE(AD5:AD35)</f>
        <v>95.155761308010042</v>
      </c>
      <c r="AE36" s="31">
        <f>SUM(AE5:AE35)</f>
        <v>410237.02799999993</v>
      </c>
      <c r="AF36" s="31">
        <f>SUM(AF5:AF35)</f>
        <v>371733.5</v>
      </c>
      <c r="AG36" s="31">
        <f>SUM(AG5:AG35)</f>
        <v>12290.329999999996</v>
      </c>
      <c r="AH36" s="31">
        <f>SUM(AH5:AH35)</f>
        <v>26213.198</v>
      </c>
      <c r="AI36" s="30">
        <f t="shared" si="6"/>
        <v>5.6861600867678961</v>
      </c>
    </row>
    <row r="38" spans="1:35" x14ac:dyDescent="0.25">
      <c r="A38" s="32" t="s">
        <v>259</v>
      </c>
    </row>
    <row r="39" spans="1:35" x14ac:dyDescent="0.25">
      <c r="A39" s="55" t="s">
        <v>260</v>
      </c>
      <c r="B39" s="55"/>
      <c r="C39" s="55"/>
      <c r="D39" s="55"/>
      <c r="E39" s="55"/>
      <c r="F39" s="55"/>
      <c r="G39" s="33">
        <f>AH36</f>
        <v>26213.198</v>
      </c>
    </row>
    <row r="40" spans="1:35" x14ac:dyDescent="0.25">
      <c r="A40" s="55" t="s">
        <v>261</v>
      </c>
      <c r="B40" s="55"/>
      <c r="C40" s="55"/>
      <c r="D40" s="55"/>
      <c r="E40" s="55"/>
      <c r="F40" s="55"/>
      <c r="G40" s="33">
        <f>SUMIF(C5:C35,"Actual",AH5:AH35)</f>
        <v>9188.3180000000084</v>
      </c>
    </row>
    <row r="41" spans="1:35" x14ac:dyDescent="0.25">
      <c r="A41" s="55" t="s">
        <v>262</v>
      </c>
      <c r="B41" s="55"/>
      <c r="C41" s="55"/>
      <c r="D41" s="55"/>
      <c r="E41" s="55"/>
      <c r="F41" s="55"/>
      <c r="G41" s="33">
        <f>SUMIF(C5:C35,"Plan",AH5:AH35)</f>
        <v>17024.880000000008</v>
      </c>
    </row>
    <row r="42" spans="1:35" x14ac:dyDescent="0.25">
      <c r="A42" s="55" t="s">
        <v>263</v>
      </c>
      <c r="B42" s="55"/>
      <c r="C42" s="55"/>
      <c r="D42" s="55"/>
      <c r="E42" s="55"/>
      <c r="F42" s="55"/>
      <c r="G42" s="34">
        <f>J36</f>
        <v>4610</v>
      </c>
    </row>
    <row r="43" spans="1:35" x14ac:dyDescent="0.25">
      <c r="A43" s="55" t="s">
        <v>264</v>
      </c>
      <c r="B43" s="55"/>
      <c r="C43" s="55"/>
      <c r="D43" s="55"/>
      <c r="E43" s="55"/>
      <c r="F43" s="55"/>
      <c r="G43" s="35">
        <f>Constraint_Check!X37</f>
        <v>0</v>
      </c>
    </row>
    <row r="44" spans="1:35" x14ac:dyDescent="0.25">
      <c r="A44" s="55" t="s">
        <v>265</v>
      </c>
      <c r="B44" s="55"/>
      <c r="C44" s="55"/>
      <c r="D44" s="55"/>
      <c r="E44" s="55"/>
      <c r="F44" s="55"/>
      <c r="G44" s="36" t="str">
        <f>IF(Constraint_Check!X37=0,"FEASIBLE","INFEASIBLE – see Constraint_Check")</f>
        <v>FEASIBLE</v>
      </c>
    </row>
  </sheetData>
  <mergeCells count="12">
    <mergeCell ref="A43:F43"/>
    <mergeCell ref="A44:F44"/>
    <mergeCell ref="AE3:AI3"/>
    <mergeCell ref="A39:F39"/>
    <mergeCell ref="A40:F40"/>
    <mergeCell ref="A41:F41"/>
    <mergeCell ref="A42:F42"/>
    <mergeCell ref="D3:I3"/>
    <mergeCell ref="J3:P3"/>
    <mergeCell ref="Q3:R3"/>
    <mergeCell ref="S3:V3"/>
    <mergeCell ref="X3:AC3"/>
  </mergeCells>
  <conditionalFormatting sqref="C5:C35">
    <cfRule type="cellIs" dxfId="9" priority="2" operator="equal">
      <formula>"Actual"</formula>
    </cfRule>
    <cfRule type="cellIs" dxfId="8" priority="3" operator="equal">
      <formula>"Plan"</formula>
    </cfRule>
  </conditionalFormatting>
  <conditionalFormatting sqref="G44">
    <cfRule type="cellIs" dxfId="7" priority="4" operator="equal">
      <formula>"FEASIBLE"</formula>
    </cfRule>
    <cfRule type="cellIs" dxfId="6" priority="5" operator="notEqual">
      <formula>"FEASIBLE"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4"/>
  <sheetViews>
    <sheetView showGridLines="0"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8" sqref="F8"/>
    </sheetView>
  </sheetViews>
  <sheetFormatPr defaultColWidth="8.7109375" defaultRowHeight="15" customHeight="1" x14ac:dyDescent="0.25"/>
  <cols>
    <col min="1" max="1" width="9" customWidth="1"/>
    <col min="2" max="2" width="13" customWidth="1"/>
    <col min="3" max="3" width="9" customWidth="1"/>
    <col min="4" max="4" width="6" customWidth="1"/>
    <col min="5" max="5" width="11" customWidth="1"/>
    <col min="6" max="11" width="10" customWidth="1"/>
    <col min="12" max="12" width="12" customWidth="1"/>
    <col min="13" max="13" width="9" customWidth="1"/>
  </cols>
  <sheetData>
    <row r="1" spans="1:13" ht="18" x14ac:dyDescent="0.25">
      <c r="A1" s="3" t="s">
        <v>266</v>
      </c>
    </row>
    <row r="2" spans="1:13" x14ac:dyDescent="0.25">
      <c r="A2" s="4" t="s">
        <v>267</v>
      </c>
    </row>
    <row r="4" spans="1:13" x14ac:dyDescent="0.25">
      <c r="A4" s="19" t="s">
        <v>268</v>
      </c>
      <c r="B4" s="19" t="s">
        <v>269</v>
      </c>
      <c r="C4" s="19" t="s">
        <v>115</v>
      </c>
      <c r="D4" s="19" t="s">
        <v>222</v>
      </c>
      <c r="E4" s="19" t="s">
        <v>223</v>
      </c>
      <c r="F4" s="19" t="s">
        <v>270</v>
      </c>
      <c r="G4" s="19" t="s">
        <v>271</v>
      </c>
      <c r="H4" s="19" t="s">
        <v>272</v>
      </c>
      <c r="I4" s="19" t="s">
        <v>273</v>
      </c>
      <c r="J4" s="19" t="s">
        <v>274</v>
      </c>
      <c r="K4" s="19" t="s">
        <v>275</v>
      </c>
      <c r="L4" s="19" t="s">
        <v>224</v>
      </c>
      <c r="M4" s="19" t="s">
        <v>276</v>
      </c>
    </row>
    <row r="5" spans="1:13" x14ac:dyDescent="0.25">
      <c r="A5" s="9" t="s">
        <v>277</v>
      </c>
      <c r="B5" s="9" t="s">
        <v>278</v>
      </c>
      <c r="C5" s="9" t="s">
        <v>279</v>
      </c>
      <c r="D5" s="9">
        <v>1</v>
      </c>
      <c r="E5" s="37">
        <f>Daily_Plan!B5</f>
        <v>46296</v>
      </c>
      <c r="F5" s="38">
        <f>Tank_Master!$F$4</f>
        <v>700</v>
      </c>
      <c r="G5" s="38">
        <f>Crude_Receipts!C5</f>
        <v>0</v>
      </c>
      <c r="H5" s="38">
        <f>Daily_Plan!D5</f>
        <v>40</v>
      </c>
      <c r="I5" s="39">
        <f t="shared" ref="I5:I68" si="0">F5+G5-H5</f>
        <v>660</v>
      </c>
      <c r="J5" s="38">
        <f>Tank_Master!$E$4</f>
        <v>150</v>
      </c>
      <c r="K5" s="38">
        <f>Tank_Master!$D$4</f>
        <v>1500</v>
      </c>
      <c r="L5" s="9" t="str">
        <f t="shared" ref="L5:L68" si="1">IF(I5&lt;J5-0.001,"BELOW MIN",IF(I5&gt;K5+0.001,"ABOVE MAX","OK"))</f>
        <v>OK</v>
      </c>
      <c r="M5" s="40">
        <f t="shared" ref="M5:M68" si="2">IF(K5&gt;0,I5/K5,0)</f>
        <v>0.44</v>
      </c>
    </row>
    <row r="6" spans="1:13" x14ac:dyDescent="0.25">
      <c r="A6" s="9" t="s">
        <v>277</v>
      </c>
      <c r="B6" s="9" t="s">
        <v>278</v>
      </c>
      <c r="C6" s="9" t="s">
        <v>279</v>
      </c>
      <c r="D6" s="9">
        <v>2</v>
      </c>
      <c r="E6" s="37">
        <f>Daily_Plan!B6</f>
        <v>46297</v>
      </c>
      <c r="F6" s="23">
        <f t="shared" ref="F6:F35" si="3">I5</f>
        <v>660</v>
      </c>
      <c r="G6" s="38">
        <f>Crude_Receipts!C6</f>
        <v>0</v>
      </c>
      <c r="H6" s="38">
        <f>Daily_Plan!D6</f>
        <v>40</v>
      </c>
      <c r="I6" s="39">
        <f t="shared" si="0"/>
        <v>620</v>
      </c>
      <c r="J6" s="38">
        <f>Tank_Master!$E$4</f>
        <v>150</v>
      </c>
      <c r="K6" s="38">
        <f>Tank_Master!$D$4</f>
        <v>1500</v>
      </c>
      <c r="L6" s="9" t="str">
        <f t="shared" si="1"/>
        <v>OK</v>
      </c>
      <c r="M6" s="40">
        <f t="shared" si="2"/>
        <v>0.41333333333333333</v>
      </c>
    </row>
    <row r="7" spans="1:13" x14ac:dyDescent="0.25">
      <c r="A7" s="9" t="s">
        <v>277</v>
      </c>
      <c r="B7" s="9" t="s">
        <v>278</v>
      </c>
      <c r="C7" s="9" t="s">
        <v>279</v>
      </c>
      <c r="D7" s="9">
        <v>3</v>
      </c>
      <c r="E7" s="37">
        <f>Daily_Plan!B7</f>
        <v>46298</v>
      </c>
      <c r="F7" s="23">
        <f t="shared" si="3"/>
        <v>620</v>
      </c>
      <c r="G7" s="38">
        <f>Crude_Receipts!C7</f>
        <v>0</v>
      </c>
      <c r="H7" s="38">
        <f>Daily_Plan!D7</f>
        <v>41</v>
      </c>
      <c r="I7" s="39">
        <f t="shared" si="0"/>
        <v>579</v>
      </c>
      <c r="J7" s="38">
        <f>Tank_Master!$E$4</f>
        <v>150</v>
      </c>
      <c r="K7" s="38">
        <f>Tank_Master!$D$4</f>
        <v>1500</v>
      </c>
      <c r="L7" s="9" t="str">
        <f t="shared" si="1"/>
        <v>OK</v>
      </c>
      <c r="M7" s="40">
        <f t="shared" si="2"/>
        <v>0.38600000000000001</v>
      </c>
    </row>
    <row r="8" spans="1:13" x14ac:dyDescent="0.25">
      <c r="A8" s="9" t="s">
        <v>277</v>
      </c>
      <c r="B8" s="9" t="s">
        <v>278</v>
      </c>
      <c r="C8" s="9" t="s">
        <v>279</v>
      </c>
      <c r="D8" s="9">
        <v>4</v>
      </c>
      <c r="E8" s="37">
        <f>Daily_Plan!B8</f>
        <v>46299</v>
      </c>
      <c r="F8" s="23">
        <f t="shared" si="3"/>
        <v>579</v>
      </c>
      <c r="G8" s="38">
        <f>Crude_Receipts!C8</f>
        <v>0</v>
      </c>
      <c r="H8" s="38">
        <f>Daily_Plan!D8</f>
        <v>39</v>
      </c>
      <c r="I8" s="39">
        <f t="shared" si="0"/>
        <v>540</v>
      </c>
      <c r="J8" s="38">
        <f>Tank_Master!$E$4</f>
        <v>150</v>
      </c>
      <c r="K8" s="38">
        <f>Tank_Master!$D$4</f>
        <v>1500</v>
      </c>
      <c r="L8" s="9" t="str">
        <f t="shared" si="1"/>
        <v>OK</v>
      </c>
      <c r="M8" s="40">
        <f t="shared" si="2"/>
        <v>0.36</v>
      </c>
    </row>
    <row r="9" spans="1:13" x14ac:dyDescent="0.25">
      <c r="A9" s="9" t="s">
        <v>277</v>
      </c>
      <c r="B9" s="9" t="s">
        <v>278</v>
      </c>
      <c r="C9" s="9" t="s">
        <v>279</v>
      </c>
      <c r="D9" s="9">
        <v>5</v>
      </c>
      <c r="E9" s="37">
        <f>Daily_Plan!B9</f>
        <v>46300</v>
      </c>
      <c r="F9" s="23">
        <f t="shared" si="3"/>
        <v>540</v>
      </c>
      <c r="G9" s="38">
        <f>Crude_Receipts!C9</f>
        <v>0</v>
      </c>
      <c r="H9" s="38">
        <f>Daily_Plan!D9</f>
        <v>35</v>
      </c>
      <c r="I9" s="39">
        <f t="shared" si="0"/>
        <v>505</v>
      </c>
      <c r="J9" s="38">
        <f>Tank_Master!$E$4</f>
        <v>150</v>
      </c>
      <c r="K9" s="38">
        <f>Tank_Master!$D$4</f>
        <v>1500</v>
      </c>
      <c r="L9" s="9" t="str">
        <f t="shared" si="1"/>
        <v>OK</v>
      </c>
      <c r="M9" s="40">
        <f t="shared" si="2"/>
        <v>0.33666666666666667</v>
      </c>
    </row>
    <row r="10" spans="1:13" x14ac:dyDescent="0.25">
      <c r="A10" s="9" t="s">
        <v>277</v>
      </c>
      <c r="B10" s="9" t="s">
        <v>278</v>
      </c>
      <c r="C10" s="9" t="s">
        <v>279</v>
      </c>
      <c r="D10" s="9">
        <v>6</v>
      </c>
      <c r="E10" s="37">
        <f>Daily_Plan!B10</f>
        <v>46301</v>
      </c>
      <c r="F10" s="23">
        <f t="shared" si="3"/>
        <v>505</v>
      </c>
      <c r="G10" s="38">
        <f>Crude_Receipts!C10</f>
        <v>0</v>
      </c>
      <c r="H10" s="38">
        <f>Daily_Plan!D10</f>
        <v>37</v>
      </c>
      <c r="I10" s="39">
        <f t="shared" si="0"/>
        <v>468</v>
      </c>
      <c r="J10" s="38">
        <f>Tank_Master!$E$4</f>
        <v>150</v>
      </c>
      <c r="K10" s="38">
        <f>Tank_Master!$D$4</f>
        <v>1500</v>
      </c>
      <c r="L10" s="9" t="str">
        <f t="shared" si="1"/>
        <v>OK</v>
      </c>
      <c r="M10" s="40">
        <f t="shared" si="2"/>
        <v>0.312</v>
      </c>
    </row>
    <row r="11" spans="1:13" x14ac:dyDescent="0.25">
      <c r="A11" s="9" t="s">
        <v>277</v>
      </c>
      <c r="B11" s="9" t="s">
        <v>278</v>
      </c>
      <c r="C11" s="9" t="s">
        <v>279</v>
      </c>
      <c r="D11" s="9">
        <v>7</v>
      </c>
      <c r="E11" s="37">
        <f>Daily_Plan!B11</f>
        <v>46302</v>
      </c>
      <c r="F11" s="23">
        <f t="shared" si="3"/>
        <v>468</v>
      </c>
      <c r="G11" s="38">
        <f>Crude_Receipts!C11</f>
        <v>0</v>
      </c>
      <c r="H11" s="38">
        <f>Daily_Plan!D11</f>
        <v>39</v>
      </c>
      <c r="I11" s="39">
        <f t="shared" si="0"/>
        <v>429</v>
      </c>
      <c r="J11" s="38">
        <f>Tank_Master!$E$4</f>
        <v>150</v>
      </c>
      <c r="K11" s="38">
        <f>Tank_Master!$D$4</f>
        <v>1500</v>
      </c>
      <c r="L11" s="9" t="str">
        <f t="shared" si="1"/>
        <v>OK</v>
      </c>
      <c r="M11" s="40">
        <f t="shared" si="2"/>
        <v>0.28599999999999998</v>
      </c>
    </row>
    <row r="12" spans="1:13" x14ac:dyDescent="0.25">
      <c r="A12" s="9" t="s">
        <v>277</v>
      </c>
      <c r="B12" s="9" t="s">
        <v>278</v>
      </c>
      <c r="C12" s="9" t="s">
        <v>279</v>
      </c>
      <c r="D12" s="9">
        <v>8</v>
      </c>
      <c r="E12" s="37">
        <f>Daily_Plan!B12</f>
        <v>46303</v>
      </c>
      <c r="F12" s="23">
        <f t="shared" si="3"/>
        <v>429</v>
      </c>
      <c r="G12" s="38">
        <f>Crude_Receipts!C12</f>
        <v>600</v>
      </c>
      <c r="H12" s="38">
        <f>Daily_Plan!D12</f>
        <v>40</v>
      </c>
      <c r="I12" s="39">
        <f t="shared" si="0"/>
        <v>989</v>
      </c>
      <c r="J12" s="38">
        <f>Tank_Master!$E$4</f>
        <v>150</v>
      </c>
      <c r="K12" s="38">
        <f>Tank_Master!$D$4</f>
        <v>1500</v>
      </c>
      <c r="L12" s="9" t="str">
        <f t="shared" si="1"/>
        <v>OK</v>
      </c>
      <c r="M12" s="40">
        <f t="shared" si="2"/>
        <v>0.65933333333333333</v>
      </c>
    </row>
    <row r="13" spans="1:13" x14ac:dyDescent="0.25">
      <c r="A13" s="9" t="s">
        <v>277</v>
      </c>
      <c r="B13" s="9" t="s">
        <v>278</v>
      </c>
      <c r="C13" s="9" t="s">
        <v>279</v>
      </c>
      <c r="D13" s="9">
        <v>9</v>
      </c>
      <c r="E13" s="37">
        <f>Daily_Plan!B13</f>
        <v>46304</v>
      </c>
      <c r="F13" s="23">
        <f t="shared" si="3"/>
        <v>989</v>
      </c>
      <c r="G13" s="38">
        <f>Crude_Receipts!C13</f>
        <v>0</v>
      </c>
      <c r="H13" s="38">
        <f>Daily_Plan!D13</f>
        <v>40</v>
      </c>
      <c r="I13" s="39">
        <f t="shared" si="0"/>
        <v>949</v>
      </c>
      <c r="J13" s="38">
        <f>Tank_Master!$E$4</f>
        <v>150</v>
      </c>
      <c r="K13" s="38">
        <f>Tank_Master!$D$4</f>
        <v>1500</v>
      </c>
      <c r="L13" s="9" t="str">
        <f t="shared" si="1"/>
        <v>OK</v>
      </c>
      <c r="M13" s="40">
        <f t="shared" si="2"/>
        <v>0.63266666666666671</v>
      </c>
    </row>
    <row r="14" spans="1:13" x14ac:dyDescent="0.25">
      <c r="A14" s="9" t="s">
        <v>277</v>
      </c>
      <c r="B14" s="9" t="s">
        <v>278</v>
      </c>
      <c r="C14" s="9" t="s">
        <v>279</v>
      </c>
      <c r="D14" s="9">
        <v>10</v>
      </c>
      <c r="E14" s="37">
        <f>Daily_Plan!B14</f>
        <v>46305</v>
      </c>
      <c r="F14" s="23">
        <f t="shared" si="3"/>
        <v>949</v>
      </c>
      <c r="G14" s="38">
        <f>Crude_Receipts!C14</f>
        <v>0</v>
      </c>
      <c r="H14" s="38">
        <f>Daily_Plan!D14</f>
        <v>40</v>
      </c>
      <c r="I14" s="39">
        <f t="shared" si="0"/>
        <v>909</v>
      </c>
      <c r="J14" s="38">
        <f>Tank_Master!$E$4</f>
        <v>150</v>
      </c>
      <c r="K14" s="38">
        <f>Tank_Master!$D$4</f>
        <v>1500</v>
      </c>
      <c r="L14" s="9" t="str">
        <f t="shared" si="1"/>
        <v>OK</v>
      </c>
      <c r="M14" s="40">
        <f t="shared" si="2"/>
        <v>0.60599999999999998</v>
      </c>
    </row>
    <row r="15" spans="1:13" x14ac:dyDescent="0.25">
      <c r="A15" s="9" t="s">
        <v>277</v>
      </c>
      <c r="B15" s="9" t="s">
        <v>278</v>
      </c>
      <c r="C15" s="9" t="s">
        <v>279</v>
      </c>
      <c r="D15" s="9">
        <v>11</v>
      </c>
      <c r="E15" s="37">
        <f>Daily_Plan!B15</f>
        <v>46306</v>
      </c>
      <c r="F15" s="23">
        <f t="shared" si="3"/>
        <v>909</v>
      </c>
      <c r="G15" s="38">
        <f>Crude_Receipts!C15</f>
        <v>0</v>
      </c>
      <c r="H15" s="38">
        <f>Daily_Plan!D15</f>
        <v>40</v>
      </c>
      <c r="I15" s="39">
        <f t="shared" si="0"/>
        <v>869</v>
      </c>
      <c r="J15" s="38">
        <f>Tank_Master!$E$4</f>
        <v>150</v>
      </c>
      <c r="K15" s="38">
        <f>Tank_Master!$D$4</f>
        <v>1500</v>
      </c>
      <c r="L15" s="9" t="str">
        <f t="shared" si="1"/>
        <v>OK</v>
      </c>
      <c r="M15" s="40">
        <f t="shared" si="2"/>
        <v>0.57933333333333337</v>
      </c>
    </row>
    <row r="16" spans="1:13" x14ac:dyDescent="0.25">
      <c r="A16" s="9" t="s">
        <v>277</v>
      </c>
      <c r="B16" s="9" t="s">
        <v>278</v>
      </c>
      <c r="C16" s="9" t="s">
        <v>279</v>
      </c>
      <c r="D16" s="9">
        <v>12</v>
      </c>
      <c r="E16" s="37">
        <f>Daily_Plan!B16</f>
        <v>46307</v>
      </c>
      <c r="F16" s="23">
        <f t="shared" si="3"/>
        <v>869</v>
      </c>
      <c r="G16" s="38">
        <f>Crude_Receipts!C16</f>
        <v>0</v>
      </c>
      <c r="H16" s="38">
        <f>Daily_Plan!D16</f>
        <v>40</v>
      </c>
      <c r="I16" s="39">
        <f>F16+G16-H16</f>
        <v>829</v>
      </c>
      <c r="J16" s="38">
        <f>Tank_Master!$E$4</f>
        <v>150</v>
      </c>
      <c r="K16" s="38">
        <f>Tank_Master!$D$4</f>
        <v>1500</v>
      </c>
      <c r="L16" s="9" t="str">
        <f t="shared" si="1"/>
        <v>OK</v>
      </c>
      <c r="M16" s="40">
        <f t="shared" si="2"/>
        <v>0.55266666666666664</v>
      </c>
    </row>
    <row r="17" spans="1:13" x14ac:dyDescent="0.25">
      <c r="A17" s="9" t="s">
        <v>277</v>
      </c>
      <c r="B17" s="9" t="s">
        <v>278</v>
      </c>
      <c r="C17" s="9" t="s">
        <v>279</v>
      </c>
      <c r="D17" s="9">
        <v>13</v>
      </c>
      <c r="E17" s="37">
        <f>Daily_Plan!B17</f>
        <v>46308</v>
      </c>
      <c r="F17" s="23">
        <f t="shared" si="3"/>
        <v>829</v>
      </c>
      <c r="G17" s="38">
        <f>Crude_Receipts!C17</f>
        <v>0</v>
      </c>
      <c r="H17" s="38">
        <f>Daily_Plan!D17</f>
        <v>40</v>
      </c>
      <c r="I17" s="39">
        <f t="shared" si="0"/>
        <v>789</v>
      </c>
      <c r="J17" s="38">
        <f>Tank_Master!$E$4</f>
        <v>150</v>
      </c>
      <c r="K17" s="38">
        <f>Tank_Master!$D$4</f>
        <v>1500</v>
      </c>
      <c r="L17" s="9" t="str">
        <f t="shared" si="1"/>
        <v>OK</v>
      </c>
      <c r="M17" s="40">
        <f t="shared" si="2"/>
        <v>0.52600000000000002</v>
      </c>
    </row>
    <row r="18" spans="1:13" x14ac:dyDescent="0.25">
      <c r="A18" s="9" t="s">
        <v>277</v>
      </c>
      <c r="B18" s="9" t="s">
        <v>278</v>
      </c>
      <c r="C18" s="9" t="s">
        <v>279</v>
      </c>
      <c r="D18" s="9">
        <v>14</v>
      </c>
      <c r="E18" s="37">
        <f>Daily_Plan!B18</f>
        <v>46309</v>
      </c>
      <c r="F18" s="23">
        <f t="shared" si="3"/>
        <v>789</v>
      </c>
      <c r="G18" s="38">
        <f>Crude_Receipts!C18</f>
        <v>0</v>
      </c>
      <c r="H18" s="38">
        <f>Daily_Plan!D18</f>
        <v>40</v>
      </c>
      <c r="I18" s="39">
        <f t="shared" si="0"/>
        <v>749</v>
      </c>
      <c r="J18" s="38">
        <f>Tank_Master!$E$4</f>
        <v>150</v>
      </c>
      <c r="K18" s="38">
        <f>Tank_Master!$D$4</f>
        <v>1500</v>
      </c>
      <c r="L18" s="9" t="str">
        <f t="shared" si="1"/>
        <v>OK</v>
      </c>
      <c r="M18" s="40">
        <f t="shared" si="2"/>
        <v>0.49933333333333335</v>
      </c>
    </row>
    <row r="19" spans="1:13" x14ac:dyDescent="0.25">
      <c r="A19" s="9" t="s">
        <v>277</v>
      </c>
      <c r="B19" s="9" t="s">
        <v>278</v>
      </c>
      <c r="C19" s="9" t="s">
        <v>279</v>
      </c>
      <c r="D19" s="9">
        <v>15</v>
      </c>
      <c r="E19" s="37">
        <f>Daily_Plan!B19</f>
        <v>46310</v>
      </c>
      <c r="F19" s="23">
        <f t="shared" si="3"/>
        <v>749</v>
      </c>
      <c r="G19" s="38">
        <f>Crude_Receipts!C19</f>
        <v>0</v>
      </c>
      <c r="H19" s="38">
        <f>Daily_Plan!D19</f>
        <v>40</v>
      </c>
      <c r="I19" s="39">
        <f t="shared" si="0"/>
        <v>709</v>
      </c>
      <c r="J19" s="38">
        <f>Tank_Master!$E$4</f>
        <v>150</v>
      </c>
      <c r="K19" s="38">
        <f>Tank_Master!$D$4</f>
        <v>1500</v>
      </c>
      <c r="L19" s="9" t="str">
        <f t="shared" si="1"/>
        <v>OK</v>
      </c>
      <c r="M19" s="40">
        <f t="shared" si="2"/>
        <v>0.47266666666666668</v>
      </c>
    </row>
    <row r="20" spans="1:13" x14ac:dyDescent="0.25">
      <c r="A20" s="9" t="s">
        <v>277</v>
      </c>
      <c r="B20" s="9" t="s">
        <v>278</v>
      </c>
      <c r="C20" s="9" t="s">
        <v>279</v>
      </c>
      <c r="D20" s="9">
        <v>16</v>
      </c>
      <c r="E20" s="37">
        <f>Daily_Plan!B20</f>
        <v>46311</v>
      </c>
      <c r="F20" s="23">
        <f t="shared" si="3"/>
        <v>709</v>
      </c>
      <c r="G20" s="38">
        <f>Crude_Receipts!C20</f>
        <v>0</v>
      </c>
      <c r="H20" s="38">
        <f>Daily_Plan!D20</f>
        <v>40</v>
      </c>
      <c r="I20" s="39">
        <f t="shared" si="0"/>
        <v>669</v>
      </c>
      <c r="J20" s="38">
        <f>Tank_Master!$E$4</f>
        <v>150</v>
      </c>
      <c r="K20" s="38">
        <f>Tank_Master!$D$4</f>
        <v>1500</v>
      </c>
      <c r="L20" s="9" t="str">
        <f t="shared" si="1"/>
        <v>OK</v>
      </c>
      <c r="M20" s="40">
        <f t="shared" si="2"/>
        <v>0.44600000000000001</v>
      </c>
    </row>
    <row r="21" spans="1:13" x14ac:dyDescent="0.25">
      <c r="A21" s="9" t="s">
        <v>277</v>
      </c>
      <c r="B21" s="9" t="s">
        <v>278</v>
      </c>
      <c r="C21" s="9" t="s">
        <v>279</v>
      </c>
      <c r="D21" s="9">
        <v>17</v>
      </c>
      <c r="E21" s="37">
        <f>Daily_Plan!B21</f>
        <v>46312</v>
      </c>
      <c r="F21" s="23">
        <f t="shared" si="3"/>
        <v>669</v>
      </c>
      <c r="G21" s="38">
        <f>Crude_Receipts!C21</f>
        <v>0</v>
      </c>
      <c r="H21" s="38">
        <f>Daily_Plan!D21</f>
        <v>40</v>
      </c>
      <c r="I21" s="39">
        <f t="shared" si="0"/>
        <v>629</v>
      </c>
      <c r="J21" s="38">
        <f>Tank_Master!$E$4</f>
        <v>150</v>
      </c>
      <c r="K21" s="38">
        <f>Tank_Master!$D$4</f>
        <v>1500</v>
      </c>
      <c r="L21" s="9" t="str">
        <f t="shared" si="1"/>
        <v>OK</v>
      </c>
      <c r="M21" s="40">
        <f t="shared" si="2"/>
        <v>0.41933333333333334</v>
      </c>
    </row>
    <row r="22" spans="1:13" x14ac:dyDescent="0.25">
      <c r="A22" s="9" t="s">
        <v>277</v>
      </c>
      <c r="B22" s="9" t="s">
        <v>278</v>
      </c>
      <c r="C22" s="9" t="s">
        <v>279</v>
      </c>
      <c r="D22" s="9">
        <v>18</v>
      </c>
      <c r="E22" s="37">
        <f>Daily_Plan!B22</f>
        <v>46313</v>
      </c>
      <c r="F22" s="23">
        <f t="shared" si="3"/>
        <v>629</v>
      </c>
      <c r="G22" s="38">
        <f>Crude_Receipts!C22</f>
        <v>0</v>
      </c>
      <c r="H22" s="38">
        <f>Daily_Plan!D22</f>
        <v>40</v>
      </c>
      <c r="I22" s="39">
        <f t="shared" si="0"/>
        <v>589</v>
      </c>
      <c r="J22" s="38">
        <f>Tank_Master!$E$4</f>
        <v>150</v>
      </c>
      <c r="K22" s="38">
        <f>Tank_Master!$D$4</f>
        <v>1500</v>
      </c>
      <c r="L22" s="9" t="str">
        <f t="shared" si="1"/>
        <v>OK</v>
      </c>
      <c r="M22" s="40">
        <f t="shared" si="2"/>
        <v>0.39266666666666666</v>
      </c>
    </row>
    <row r="23" spans="1:13" x14ac:dyDescent="0.25">
      <c r="A23" s="9" t="s">
        <v>277</v>
      </c>
      <c r="B23" s="9" t="s">
        <v>278</v>
      </c>
      <c r="C23" s="9" t="s">
        <v>279</v>
      </c>
      <c r="D23" s="9">
        <v>19</v>
      </c>
      <c r="E23" s="37">
        <f>Daily_Plan!B23</f>
        <v>46314</v>
      </c>
      <c r="F23" s="23">
        <f t="shared" si="3"/>
        <v>589</v>
      </c>
      <c r="G23" s="38">
        <f>Crude_Receipts!C23</f>
        <v>0</v>
      </c>
      <c r="H23" s="38">
        <f>Daily_Plan!D23</f>
        <v>40</v>
      </c>
      <c r="I23" s="39">
        <f t="shared" si="0"/>
        <v>549</v>
      </c>
      <c r="J23" s="38">
        <f>Tank_Master!$E$4</f>
        <v>150</v>
      </c>
      <c r="K23" s="38">
        <f>Tank_Master!$D$4</f>
        <v>1500</v>
      </c>
      <c r="L23" s="9" t="str">
        <f t="shared" si="1"/>
        <v>OK</v>
      </c>
      <c r="M23" s="40">
        <f t="shared" si="2"/>
        <v>0.36599999999999999</v>
      </c>
    </row>
    <row r="24" spans="1:13" x14ac:dyDescent="0.25">
      <c r="A24" s="9" t="s">
        <v>277</v>
      </c>
      <c r="B24" s="9" t="s">
        <v>278</v>
      </c>
      <c r="C24" s="9" t="s">
        <v>279</v>
      </c>
      <c r="D24" s="9">
        <v>20</v>
      </c>
      <c r="E24" s="37">
        <f>Daily_Plan!B24</f>
        <v>46315</v>
      </c>
      <c r="F24" s="23">
        <f t="shared" si="3"/>
        <v>549</v>
      </c>
      <c r="G24" s="38">
        <f>Crude_Receipts!C24</f>
        <v>0</v>
      </c>
      <c r="H24" s="38">
        <f>Daily_Plan!D24</f>
        <v>40</v>
      </c>
      <c r="I24" s="39">
        <f t="shared" si="0"/>
        <v>509</v>
      </c>
      <c r="J24" s="38">
        <f>Tank_Master!$E$4</f>
        <v>150</v>
      </c>
      <c r="K24" s="38">
        <f>Tank_Master!$D$4</f>
        <v>1500</v>
      </c>
      <c r="L24" s="9" t="str">
        <f t="shared" si="1"/>
        <v>OK</v>
      </c>
      <c r="M24" s="40">
        <f t="shared" si="2"/>
        <v>0.33933333333333332</v>
      </c>
    </row>
    <row r="25" spans="1:13" x14ac:dyDescent="0.25">
      <c r="A25" s="9" t="s">
        <v>277</v>
      </c>
      <c r="B25" s="9" t="s">
        <v>278</v>
      </c>
      <c r="C25" s="9" t="s">
        <v>279</v>
      </c>
      <c r="D25" s="9">
        <v>21</v>
      </c>
      <c r="E25" s="37">
        <f>Daily_Plan!B25</f>
        <v>46316</v>
      </c>
      <c r="F25" s="23">
        <f t="shared" si="3"/>
        <v>509</v>
      </c>
      <c r="G25" s="38">
        <f>Crude_Receipts!C25</f>
        <v>0</v>
      </c>
      <c r="H25" s="38">
        <f>Daily_Plan!D25</f>
        <v>40</v>
      </c>
      <c r="I25" s="39">
        <f t="shared" si="0"/>
        <v>469</v>
      </c>
      <c r="J25" s="38">
        <f>Tank_Master!$E$4</f>
        <v>150</v>
      </c>
      <c r="K25" s="38">
        <f>Tank_Master!$D$4</f>
        <v>1500</v>
      </c>
      <c r="L25" s="9" t="str">
        <f t="shared" si="1"/>
        <v>OK</v>
      </c>
      <c r="M25" s="40">
        <f t="shared" si="2"/>
        <v>0.31266666666666665</v>
      </c>
    </row>
    <row r="26" spans="1:13" x14ac:dyDescent="0.25">
      <c r="A26" s="9" t="s">
        <v>277</v>
      </c>
      <c r="B26" s="9" t="s">
        <v>278</v>
      </c>
      <c r="C26" s="9" t="s">
        <v>279</v>
      </c>
      <c r="D26" s="9">
        <v>22</v>
      </c>
      <c r="E26" s="37">
        <f>Daily_Plan!B26</f>
        <v>46317</v>
      </c>
      <c r="F26" s="23">
        <f t="shared" si="3"/>
        <v>469</v>
      </c>
      <c r="G26" s="38">
        <f>Crude_Receipts!C26</f>
        <v>500</v>
      </c>
      <c r="H26" s="38">
        <f>Daily_Plan!D26</f>
        <v>40</v>
      </c>
      <c r="I26" s="39">
        <f t="shared" si="0"/>
        <v>929</v>
      </c>
      <c r="J26" s="38">
        <f>Tank_Master!$E$4</f>
        <v>150</v>
      </c>
      <c r="K26" s="38">
        <f>Tank_Master!$D$4</f>
        <v>1500</v>
      </c>
      <c r="L26" s="9" t="str">
        <f t="shared" si="1"/>
        <v>OK</v>
      </c>
      <c r="M26" s="40">
        <f t="shared" si="2"/>
        <v>0.61933333333333329</v>
      </c>
    </row>
    <row r="27" spans="1:13" x14ac:dyDescent="0.25">
      <c r="A27" s="9" t="s">
        <v>277</v>
      </c>
      <c r="B27" s="9" t="s">
        <v>278</v>
      </c>
      <c r="C27" s="9" t="s">
        <v>279</v>
      </c>
      <c r="D27" s="9">
        <v>23</v>
      </c>
      <c r="E27" s="37">
        <f>Daily_Plan!B27</f>
        <v>46318</v>
      </c>
      <c r="F27" s="23">
        <f t="shared" si="3"/>
        <v>929</v>
      </c>
      <c r="G27" s="38">
        <f>Crude_Receipts!C27</f>
        <v>0</v>
      </c>
      <c r="H27" s="38">
        <f>Daily_Plan!D27</f>
        <v>40</v>
      </c>
      <c r="I27" s="39">
        <f t="shared" si="0"/>
        <v>889</v>
      </c>
      <c r="J27" s="38">
        <f>Tank_Master!$E$4</f>
        <v>150</v>
      </c>
      <c r="K27" s="38">
        <f>Tank_Master!$D$4</f>
        <v>1500</v>
      </c>
      <c r="L27" s="9" t="str">
        <f t="shared" si="1"/>
        <v>OK</v>
      </c>
      <c r="M27" s="40">
        <f t="shared" si="2"/>
        <v>0.59266666666666667</v>
      </c>
    </row>
    <row r="28" spans="1:13" x14ac:dyDescent="0.25">
      <c r="A28" s="9" t="s">
        <v>277</v>
      </c>
      <c r="B28" s="9" t="s">
        <v>278</v>
      </c>
      <c r="C28" s="9" t="s">
        <v>279</v>
      </c>
      <c r="D28" s="9">
        <v>24</v>
      </c>
      <c r="E28" s="37">
        <f>Daily_Plan!B28</f>
        <v>46319</v>
      </c>
      <c r="F28" s="23">
        <f t="shared" si="3"/>
        <v>889</v>
      </c>
      <c r="G28" s="38">
        <f>Crude_Receipts!C28</f>
        <v>0</v>
      </c>
      <c r="H28" s="38">
        <f>Daily_Plan!D28</f>
        <v>40</v>
      </c>
      <c r="I28" s="39">
        <f t="shared" si="0"/>
        <v>849</v>
      </c>
      <c r="J28" s="38">
        <f>Tank_Master!$E$4</f>
        <v>150</v>
      </c>
      <c r="K28" s="38">
        <f>Tank_Master!$D$4</f>
        <v>1500</v>
      </c>
      <c r="L28" s="9" t="str">
        <f t="shared" si="1"/>
        <v>OK</v>
      </c>
      <c r="M28" s="40">
        <f t="shared" si="2"/>
        <v>0.56599999999999995</v>
      </c>
    </row>
    <row r="29" spans="1:13" x14ac:dyDescent="0.25">
      <c r="A29" s="9" t="s">
        <v>277</v>
      </c>
      <c r="B29" s="9" t="s">
        <v>278</v>
      </c>
      <c r="C29" s="9" t="s">
        <v>279</v>
      </c>
      <c r="D29" s="9">
        <v>25</v>
      </c>
      <c r="E29" s="37">
        <f>Daily_Plan!B29</f>
        <v>46320</v>
      </c>
      <c r="F29" s="23">
        <f t="shared" si="3"/>
        <v>849</v>
      </c>
      <c r="G29" s="38">
        <f>Crude_Receipts!C29</f>
        <v>0</v>
      </c>
      <c r="H29" s="38">
        <f>Daily_Plan!D29</f>
        <v>40</v>
      </c>
      <c r="I29" s="39">
        <f t="shared" si="0"/>
        <v>809</v>
      </c>
      <c r="J29" s="38">
        <f>Tank_Master!$E$4</f>
        <v>150</v>
      </c>
      <c r="K29" s="38">
        <f>Tank_Master!$D$4</f>
        <v>1500</v>
      </c>
      <c r="L29" s="9" t="str">
        <f t="shared" si="1"/>
        <v>OK</v>
      </c>
      <c r="M29" s="40">
        <f>IF(K29&gt;0,I29/K29,0)</f>
        <v>0.53933333333333333</v>
      </c>
    </row>
    <row r="30" spans="1:13" x14ac:dyDescent="0.25">
      <c r="A30" s="9" t="s">
        <v>277</v>
      </c>
      <c r="B30" s="9" t="s">
        <v>278</v>
      </c>
      <c r="C30" s="9" t="s">
        <v>279</v>
      </c>
      <c r="D30" s="9">
        <v>26</v>
      </c>
      <c r="E30" s="37">
        <f>Daily_Plan!B30</f>
        <v>46321</v>
      </c>
      <c r="F30" s="23">
        <f t="shared" si="3"/>
        <v>809</v>
      </c>
      <c r="G30" s="38">
        <f>Crude_Receipts!C30</f>
        <v>0</v>
      </c>
      <c r="H30" s="38">
        <f>Daily_Plan!D30</f>
        <v>40</v>
      </c>
      <c r="I30" s="39">
        <f t="shared" si="0"/>
        <v>769</v>
      </c>
      <c r="J30" s="38">
        <f>Tank_Master!$E$4</f>
        <v>150</v>
      </c>
      <c r="K30" s="38">
        <f>Tank_Master!$D$4</f>
        <v>1500</v>
      </c>
      <c r="L30" s="9" t="str">
        <f t="shared" si="1"/>
        <v>OK</v>
      </c>
      <c r="M30" s="40">
        <f t="shared" si="2"/>
        <v>0.51266666666666671</v>
      </c>
    </row>
    <row r="31" spans="1:13" x14ac:dyDescent="0.25">
      <c r="A31" s="9" t="s">
        <v>277</v>
      </c>
      <c r="B31" s="9" t="s">
        <v>278</v>
      </c>
      <c r="C31" s="9" t="s">
        <v>279</v>
      </c>
      <c r="D31" s="9">
        <v>27</v>
      </c>
      <c r="E31" s="37">
        <f>Daily_Plan!B31</f>
        <v>46322</v>
      </c>
      <c r="F31" s="23">
        <f t="shared" si="3"/>
        <v>769</v>
      </c>
      <c r="G31" s="38">
        <f>Crude_Receipts!C31</f>
        <v>0</v>
      </c>
      <c r="H31" s="38">
        <f>Daily_Plan!D31</f>
        <v>40</v>
      </c>
      <c r="I31" s="39">
        <f t="shared" si="0"/>
        <v>729</v>
      </c>
      <c r="J31" s="38">
        <f>Tank_Master!$E$4</f>
        <v>150</v>
      </c>
      <c r="K31" s="38">
        <f>Tank_Master!$D$4</f>
        <v>1500</v>
      </c>
      <c r="L31" s="9" t="str">
        <f t="shared" si="1"/>
        <v>OK</v>
      </c>
      <c r="M31" s="40">
        <f t="shared" si="2"/>
        <v>0.48599999999999999</v>
      </c>
    </row>
    <row r="32" spans="1:13" x14ac:dyDescent="0.25">
      <c r="A32" s="9" t="s">
        <v>277</v>
      </c>
      <c r="B32" s="9" t="s">
        <v>278</v>
      </c>
      <c r="C32" s="9" t="s">
        <v>279</v>
      </c>
      <c r="D32" s="9">
        <v>28</v>
      </c>
      <c r="E32" s="37">
        <f>Daily_Plan!B32</f>
        <v>46323</v>
      </c>
      <c r="F32" s="23">
        <f t="shared" si="3"/>
        <v>729</v>
      </c>
      <c r="G32" s="38">
        <f>Crude_Receipts!C32</f>
        <v>0</v>
      </c>
      <c r="H32" s="38">
        <f>Daily_Plan!D32</f>
        <v>40</v>
      </c>
      <c r="I32" s="39">
        <f t="shared" si="0"/>
        <v>689</v>
      </c>
      <c r="J32" s="38">
        <f>Tank_Master!$E$4</f>
        <v>150</v>
      </c>
      <c r="K32" s="38">
        <f>Tank_Master!$D$4</f>
        <v>1500</v>
      </c>
      <c r="L32" s="9" t="str">
        <f t="shared" si="1"/>
        <v>OK</v>
      </c>
      <c r="M32" s="40">
        <f t="shared" si="2"/>
        <v>0.45933333333333332</v>
      </c>
    </row>
    <row r="33" spans="1:13" x14ac:dyDescent="0.25">
      <c r="A33" s="9" t="s">
        <v>277</v>
      </c>
      <c r="B33" s="9" t="s">
        <v>278</v>
      </c>
      <c r="C33" s="9" t="s">
        <v>279</v>
      </c>
      <c r="D33" s="9">
        <v>29</v>
      </c>
      <c r="E33" s="37">
        <f>Daily_Plan!B33</f>
        <v>46324</v>
      </c>
      <c r="F33" s="23">
        <f t="shared" si="3"/>
        <v>689</v>
      </c>
      <c r="G33" s="38">
        <f>Crude_Receipts!C33</f>
        <v>0</v>
      </c>
      <c r="H33" s="38">
        <f>Daily_Plan!D33</f>
        <v>40</v>
      </c>
      <c r="I33" s="39">
        <f t="shared" si="0"/>
        <v>649</v>
      </c>
      <c r="J33" s="38">
        <f>Tank_Master!$E$4</f>
        <v>150</v>
      </c>
      <c r="K33" s="38">
        <f>Tank_Master!$D$4</f>
        <v>1500</v>
      </c>
      <c r="L33" s="9" t="str">
        <f t="shared" si="1"/>
        <v>OK</v>
      </c>
      <c r="M33" s="40">
        <f t="shared" si="2"/>
        <v>0.43266666666666664</v>
      </c>
    </row>
    <row r="34" spans="1:13" x14ac:dyDescent="0.25">
      <c r="A34" s="9" t="s">
        <v>277</v>
      </c>
      <c r="B34" s="9" t="s">
        <v>278</v>
      </c>
      <c r="C34" s="9" t="s">
        <v>279</v>
      </c>
      <c r="D34" s="9">
        <v>30</v>
      </c>
      <c r="E34" s="37">
        <f>Daily_Plan!B34</f>
        <v>46325</v>
      </c>
      <c r="F34" s="23">
        <f t="shared" si="3"/>
        <v>649</v>
      </c>
      <c r="G34" s="38">
        <f>Crude_Receipts!C34</f>
        <v>0</v>
      </c>
      <c r="H34" s="38">
        <f>Daily_Plan!D34</f>
        <v>40</v>
      </c>
      <c r="I34" s="39">
        <f t="shared" si="0"/>
        <v>609</v>
      </c>
      <c r="J34" s="38">
        <f>Tank_Master!$E$4</f>
        <v>150</v>
      </c>
      <c r="K34" s="38">
        <f>Tank_Master!$D$4</f>
        <v>1500</v>
      </c>
      <c r="L34" s="9" t="str">
        <f t="shared" si="1"/>
        <v>OK</v>
      </c>
      <c r="M34" s="40">
        <f t="shared" si="2"/>
        <v>0.40600000000000003</v>
      </c>
    </row>
    <row r="35" spans="1:13" x14ac:dyDescent="0.25">
      <c r="A35" s="9" t="s">
        <v>277</v>
      </c>
      <c r="B35" s="9" t="s">
        <v>278</v>
      </c>
      <c r="C35" s="9" t="s">
        <v>279</v>
      </c>
      <c r="D35" s="9">
        <v>31</v>
      </c>
      <c r="E35" s="37">
        <f>Daily_Plan!B35</f>
        <v>46326</v>
      </c>
      <c r="F35" s="23">
        <f t="shared" si="3"/>
        <v>609</v>
      </c>
      <c r="G35" s="38">
        <f>Crude_Receipts!C35</f>
        <v>0</v>
      </c>
      <c r="H35" s="38">
        <f>Daily_Plan!D35</f>
        <v>40</v>
      </c>
      <c r="I35" s="39">
        <f t="shared" si="0"/>
        <v>569</v>
      </c>
      <c r="J35" s="38">
        <f>Tank_Master!$E$4</f>
        <v>150</v>
      </c>
      <c r="K35" s="38">
        <f>Tank_Master!$D$4</f>
        <v>1500</v>
      </c>
      <c r="L35" s="9" t="str">
        <f t="shared" si="1"/>
        <v>OK</v>
      </c>
      <c r="M35" s="40">
        <f t="shared" si="2"/>
        <v>0.37933333333333336</v>
      </c>
    </row>
    <row r="36" spans="1:13" x14ac:dyDescent="0.25">
      <c r="A36" s="9" t="s">
        <v>280</v>
      </c>
      <c r="B36" s="9" t="s">
        <v>281</v>
      </c>
      <c r="C36" s="9" t="s">
        <v>279</v>
      </c>
      <c r="D36" s="9">
        <v>1</v>
      </c>
      <c r="E36" s="37">
        <f>Daily_Plan!B5</f>
        <v>46296</v>
      </c>
      <c r="F36" s="38">
        <f>Tank_Master!$F$5</f>
        <v>500</v>
      </c>
      <c r="G36" s="38">
        <f>Crude_Receipts!D5</f>
        <v>0</v>
      </c>
      <c r="H36" s="38">
        <f>Daily_Plan!E5</f>
        <v>40</v>
      </c>
      <c r="I36" s="39">
        <f t="shared" si="0"/>
        <v>460</v>
      </c>
      <c r="J36" s="38">
        <f>Tank_Master!$E$5</f>
        <v>100</v>
      </c>
      <c r="K36" s="38">
        <f>Tank_Master!$D$5</f>
        <v>1000</v>
      </c>
      <c r="L36" s="9" t="str">
        <f t="shared" si="1"/>
        <v>OK</v>
      </c>
      <c r="M36" s="40">
        <f t="shared" si="2"/>
        <v>0.46</v>
      </c>
    </row>
    <row r="37" spans="1:13" x14ac:dyDescent="0.25">
      <c r="A37" s="9" t="s">
        <v>280</v>
      </c>
      <c r="B37" s="9" t="s">
        <v>281</v>
      </c>
      <c r="C37" s="9" t="s">
        <v>279</v>
      </c>
      <c r="D37" s="9">
        <v>2</v>
      </c>
      <c r="E37" s="37">
        <f>Daily_Plan!B6</f>
        <v>46297</v>
      </c>
      <c r="F37" s="23">
        <f t="shared" ref="F37:F66" si="4">I36</f>
        <v>460</v>
      </c>
      <c r="G37" s="38">
        <f>Crude_Receipts!D6</f>
        <v>0</v>
      </c>
      <c r="H37" s="38">
        <f>Daily_Plan!E6</f>
        <v>40</v>
      </c>
      <c r="I37" s="39">
        <f t="shared" si="0"/>
        <v>420</v>
      </c>
      <c r="J37" s="38">
        <f>Tank_Master!$E$5</f>
        <v>100</v>
      </c>
      <c r="K37" s="38">
        <f>Tank_Master!$D$5</f>
        <v>1000</v>
      </c>
      <c r="L37" s="9" t="str">
        <f t="shared" si="1"/>
        <v>OK</v>
      </c>
      <c r="M37" s="40">
        <f t="shared" si="2"/>
        <v>0.42</v>
      </c>
    </row>
    <row r="38" spans="1:13" x14ac:dyDescent="0.25">
      <c r="A38" s="9" t="s">
        <v>280</v>
      </c>
      <c r="B38" s="9" t="s">
        <v>281</v>
      </c>
      <c r="C38" s="9" t="s">
        <v>279</v>
      </c>
      <c r="D38" s="9">
        <v>3</v>
      </c>
      <c r="E38" s="37">
        <f>Daily_Plan!B7</f>
        <v>46298</v>
      </c>
      <c r="F38" s="23">
        <f t="shared" si="4"/>
        <v>420</v>
      </c>
      <c r="G38" s="38">
        <f>Crude_Receipts!D7</f>
        <v>0</v>
      </c>
      <c r="H38" s="38">
        <f>Daily_Plan!E7</f>
        <v>38</v>
      </c>
      <c r="I38" s="39">
        <f t="shared" si="0"/>
        <v>382</v>
      </c>
      <c r="J38" s="38">
        <f>Tank_Master!$E$5</f>
        <v>100</v>
      </c>
      <c r="K38" s="38">
        <f>Tank_Master!$D$5</f>
        <v>1000</v>
      </c>
      <c r="L38" s="9" t="str">
        <f t="shared" si="1"/>
        <v>OK</v>
      </c>
      <c r="M38" s="40">
        <f t="shared" si="2"/>
        <v>0.38200000000000001</v>
      </c>
    </row>
    <row r="39" spans="1:13" x14ac:dyDescent="0.25">
      <c r="A39" s="9" t="s">
        <v>280</v>
      </c>
      <c r="B39" s="9" t="s">
        <v>281</v>
      </c>
      <c r="C39" s="9" t="s">
        <v>279</v>
      </c>
      <c r="D39" s="9">
        <v>4</v>
      </c>
      <c r="E39" s="37">
        <f>Daily_Plan!B8</f>
        <v>46299</v>
      </c>
      <c r="F39" s="23">
        <f t="shared" si="4"/>
        <v>382</v>
      </c>
      <c r="G39" s="38">
        <f>Crude_Receipts!D8</f>
        <v>0</v>
      </c>
      <c r="H39" s="38">
        <f>Daily_Plan!E8</f>
        <v>36</v>
      </c>
      <c r="I39" s="39">
        <f t="shared" si="0"/>
        <v>346</v>
      </c>
      <c r="J39" s="38">
        <f>Tank_Master!$E$5</f>
        <v>100</v>
      </c>
      <c r="K39" s="38">
        <f>Tank_Master!$D$5</f>
        <v>1000</v>
      </c>
      <c r="L39" s="9" t="str">
        <f t="shared" si="1"/>
        <v>OK</v>
      </c>
      <c r="M39" s="40">
        <f t="shared" si="2"/>
        <v>0.34599999999999997</v>
      </c>
    </row>
    <row r="40" spans="1:13" x14ac:dyDescent="0.25">
      <c r="A40" s="9" t="s">
        <v>280</v>
      </c>
      <c r="B40" s="9" t="s">
        <v>281</v>
      </c>
      <c r="C40" s="9" t="s">
        <v>279</v>
      </c>
      <c r="D40" s="9">
        <v>5</v>
      </c>
      <c r="E40" s="37">
        <f>Daily_Plan!B9</f>
        <v>46300</v>
      </c>
      <c r="F40" s="23">
        <f t="shared" si="4"/>
        <v>346</v>
      </c>
      <c r="G40" s="38">
        <f>Crude_Receipts!D9</f>
        <v>500</v>
      </c>
      <c r="H40" s="38">
        <f>Daily_Plan!E9</f>
        <v>34</v>
      </c>
      <c r="I40" s="39">
        <f t="shared" si="0"/>
        <v>812</v>
      </c>
      <c r="J40" s="38">
        <f>Tank_Master!$E$5</f>
        <v>100</v>
      </c>
      <c r="K40" s="38">
        <f>Tank_Master!$D$5</f>
        <v>1000</v>
      </c>
      <c r="L40" s="9" t="str">
        <f t="shared" si="1"/>
        <v>OK</v>
      </c>
      <c r="M40" s="40">
        <f t="shared" si="2"/>
        <v>0.81200000000000006</v>
      </c>
    </row>
    <row r="41" spans="1:13" x14ac:dyDescent="0.25">
      <c r="A41" s="9" t="s">
        <v>280</v>
      </c>
      <c r="B41" s="9" t="s">
        <v>281</v>
      </c>
      <c r="C41" s="9" t="s">
        <v>279</v>
      </c>
      <c r="D41" s="9">
        <v>6</v>
      </c>
      <c r="E41" s="37">
        <f>Daily_Plan!B10</f>
        <v>46301</v>
      </c>
      <c r="F41" s="23">
        <f t="shared" si="4"/>
        <v>812</v>
      </c>
      <c r="G41" s="38">
        <f>Crude_Receipts!D10</f>
        <v>0</v>
      </c>
      <c r="H41" s="38">
        <f>Daily_Plan!E10</f>
        <v>36</v>
      </c>
      <c r="I41" s="39">
        <f t="shared" si="0"/>
        <v>776</v>
      </c>
      <c r="J41" s="38">
        <f>Tank_Master!$E$5</f>
        <v>100</v>
      </c>
      <c r="K41" s="38">
        <f>Tank_Master!$D$5</f>
        <v>1000</v>
      </c>
      <c r="L41" s="9" t="str">
        <f t="shared" si="1"/>
        <v>OK</v>
      </c>
      <c r="M41" s="40">
        <f t="shared" si="2"/>
        <v>0.77600000000000002</v>
      </c>
    </row>
    <row r="42" spans="1:13" x14ac:dyDescent="0.25">
      <c r="A42" s="9" t="s">
        <v>280</v>
      </c>
      <c r="B42" s="9" t="s">
        <v>281</v>
      </c>
      <c r="C42" s="9" t="s">
        <v>279</v>
      </c>
      <c r="D42" s="9">
        <v>7</v>
      </c>
      <c r="E42" s="37">
        <f>Daily_Plan!B11</f>
        <v>46302</v>
      </c>
      <c r="F42" s="23">
        <f t="shared" si="4"/>
        <v>776</v>
      </c>
      <c r="G42" s="38">
        <f>Crude_Receipts!D11</f>
        <v>0</v>
      </c>
      <c r="H42" s="38">
        <f>Daily_Plan!E11</f>
        <v>38</v>
      </c>
      <c r="I42" s="39">
        <f t="shared" si="0"/>
        <v>738</v>
      </c>
      <c r="J42" s="38">
        <f>Tank_Master!$E$5</f>
        <v>100</v>
      </c>
      <c r="K42" s="38">
        <f>Tank_Master!$D$5</f>
        <v>1000</v>
      </c>
      <c r="L42" s="9" t="str">
        <f t="shared" si="1"/>
        <v>OK</v>
      </c>
      <c r="M42" s="40">
        <f t="shared" si="2"/>
        <v>0.73799999999999999</v>
      </c>
    </row>
    <row r="43" spans="1:13" x14ac:dyDescent="0.25">
      <c r="A43" s="9" t="s">
        <v>280</v>
      </c>
      <c r="B43" s="9" t="s">
        <v>281</v>
      </c>
      <c r="C43" s="9" t="s">
        <v>279</v>
      </c>
      <c r="D43" s="9">
        <v>8</v>
      </c>
      <c r="E43" s="37">
        <f>Daily_Plan!B12</f>
        <v>46303</v>
      </c>
      <c r="F43" s="23">
        <f t="shared" si="4"/>
        <v>738</v>
      </c>
      <c r="G43" s="38">
        <f>Crude_Receipts!D12</f>
        <v>0</v>
      </c>
      <c r="H43" s="38">
        <f>Daily_Plan!E12</f>
        <v>40</v>
      </c>
      <c r="I43" s="39">
        <f>F43+G43-H43</f>
        <v>698</v>
      </c>
      <c r="J43" s="38">
        <f>Tank_Master!$E$5</f>
        <v>100</v>
      </c>
      <c r="K43" s="38">
        <f>Tank_Master!$D$5</f>
        <v>1000</v>
      </c>
      <c r="L43" s="9" t="str">
        <f t="shared" si="1"/>
        <v>OK</v>
      </c>
      <c r="M43" s="40">
        <f>IF(K43&gt;0,I43/K43,0)</f>
        <v>0.69799999999999995</v>
      </c>
    </row>
    <row r="44" spans="1:13" x14ac:dyDescent="0.25">
      <c r="A44" s="9" t="s">
        <v>280</v>
      </c>
      <c r="B44" s="9" t="s">
        <v>281</v>
      </c>
      <c r="C44" s="9" t="s">
        <v>279</v>
      </c>
      <c r="D44" s="9">
        <v>9</v>
      </c>
      <c r="E44" s="37">
        <f>Daily_Plan!B13</f>
        <v>46304</v>
      </c>
      <c r="F44" s="23">
        <f t="shared" si="4"/>
        <v>698</v>
      </c>
      <c r="G44" s="38">
        <f>Crude_Receipts!D13</f>
        <v>0</v>
      </c>
      <c r="H44" s="38">
        <f>Daily_Plan!E13</f>
        <v>40</v>
      </c>
      <c r="I44" s="39">
        <f t="shared" si="0"/>
        <v>658</v>
      </c>
      <c r="J44" s="38">
        <f>Tank_Master!$E$5</f>
        <v>100</v>
      </c>
      <c r="K44" s="38">
        <f>Tank_Master!$D$5</f>
        <v>1000</v>
      </c>
      <c r="L44" s="9" t="str">
        <f t="shared" si="1"/>
        <v>OK</v>
      </c>
      <c r="M44" s="40">
        <f t="shared" si="2"/>
        <v>0.65800000000000003</v>
      </c>
    </row>
    <row r="45" spans="1:13" x14ac:dyDescent="0.25">
      <c r="A45" s="9" t="s">
        <v>280</v>
      </c>
      <c r="B45" s="9" t="s">
        <v>281</v>
      </c>
      <c r="C45" s="9" t="s">
        <v>279</v>
      </c>
      <c r="D45" s="9">
        <v>10</v>
      </c>
      <c r="E45" s="37">
        <f>Daily_Plan!B14</f>
        <v>46305</v>
      </c>
      <c r="F45" s="23">
        <f t="shared" si="4"/>
        <v>658</v>
      </c>
      <c r="G45" s="38">
        <f>Crude_Receipts!D14</f>
        <v>0</v>
      </c>
      <c r="H45" s="38">
        <f>Daily_Plan!E14</f>
        <v>40</v>
      </c>
      <c r="I45" s="39">
        <f t="shared" si="0"/>
        <v>618</v>
      </c>
      <c r="J45" s="38">
        <f>Tank_Master!$E$5</f>
        <v>100</v>
      </c>
      <c r="K45" s="38">
        <f>Tank_Master!$D$5</f>
        <v>1000</v>
      </c>
      <c r="L45" s="9" t="str">
        <f t="shared" si="1"/>
        <v>OK</v>
      </c>
      <c r="M45" s="40">
        <f t="shared" si="2"/>
        <v>0.61799999999999999</v>
      </c>
    </row>
    <row r="46" spans="1:13" x14ac:dyDescent="0.25">
      <c r="A46" s="9" t="s">
        <v>280</v>
      </c>
      <c r="B46" s="9" t="s">
        <v>281</v>
      </c>
      <c r="C46" s="9" t="s">
        <v>279</v>
      </c>
      <c r="D46" s="9">
        <v>11</v>
      </c>
      <c r="E46" s="37">
        <f>Daily_Plan!B15</f>
        <v>46306</v>
      </c>
      <c r="F46" s="23">
        <f t="shared" si="4"/>
        <v>618</v>
      </c>
      <c r="G46" s="38">
        <f>Crude_Receipts!D15</f>
        <v>0</v>
      </c>
      <c r="H46" s="38">
        <f>Daily_Plan!E15</f>
        <v>40</v>
      </c>
      <c r="I46" s="39">
        <f t="shared" si="0"/>
        <v>578</v>
      </c>
      <c r="J46" s="38">
        <f>Tank_Master!$E$5</f>
        <v>100</v>
      </c>
      <c r="K46" s="38">
        <f>Tank_Master!$D$5</f>
        <v>1000</v>
      </c>
      <c r="L46" s="9" t="str">
        <f t="shared" si="1"/>
        <v>OK</v>
      </c>
      <c r="M46" s="40">
        <f t="shared" si="2"/>
        <v>0.57799999999999996</v>
      </c>
    </row>
    <row r="47" spans="1:13" x14ac:dyDescent="0.25">
      <c r="A47" s="9" t="s">
        <v>280</v>
      </c>
      <c r="B47" s="9" t="s">
        <v>281</v>
      </c>
      <c r="C47" s="9" t="s">
        <v>279</v>
      </c>
      <c r="D47" s="9">
        <v>12</v>
      </c>
      <c r="E47" s="37">
        <f>Daily_Plan!B16</f>
        <v>46307</v>
      </c>
      <c r="F47" s="23">
        <f t="shared" si="4"/>
        <v>578</v>
      </c>
      <c r="G47" s="38">
        <f>Crude_Receipts!D16</f>
        <v>0</v>
      </c>
      <c r="H47" s="38">
        <f>Daily_Plan!E16</f>
        <v>40</v>
      </c>
      <c r="I47" s="39">
        <f t="shared" si="0"/>
        <v>538</v>
      </c>
      <c r="J47" s="38">
        <f>Tank_Master!$E$5</f>
        <v>100</v>
      </c>
      <c r="K47" s="38">
        <f>Tank_Master!$D$5</f>
        <v>1000</v>
      </c>
      <c r="L47" s="9" t="str">
        <f t="shared" si="1"/>
        <v>OK</v>
      </c>
      <c r="M47" s="40">
        <f t="shared" si="2"/>
        <v>0.53800000000000003</v>
      </c>
    </row>
    <row r="48" spans="1:13" x14ac:dyDescent="0.25">
      <c r="A48" s="9" t="s">
        <v>280</v>
      </c>
      <c r="B48" s="9" t="s">
        <v>281</v>
      </c>
      <c r="C48" s="9" t="s">
        <v>279</v>
      </c>
      <c r="D48" s="9">
        <v>13</v>
      </c>
      <c r="E48" s="37">
        <f>Daily_Plan!B17</f>
        <v>46308</v>
      </c>
      <c r="F48" s="23">
        <f t="shared" si="4"/>
        <v>538</v>
      </c>
      <c r="G48" s="38">
        <f>Crude_Receipts!D17</f>
        <v>0</v>
      </c>
      <c r="H48" s="38">
        <f>Daily_Plan!E17</f>
        <v>40</v>
      </c>
      <c r="I48" s="39">
        <f t="shared" si="0"/>
        <v>498</v>
      </c>
      <c r="J48" s="38">
        <f>Tank_Master!$E$5</f>
        <v>100</v>
      </c>
      <c r="K48" s="38">
        <f>Tank_Master!$D$5</f>
        <v>1000</v>
      </c>
      <c r="L48" s="9" t="str">
        <f t="shared" si="1"/>
        <v>OK</v>
      </c>
      <c r="M48" s="40">
        <f t="shared" si="2"/>
        <v>0.498</v>
      </c>
    </row>
    <row r="49" spans="1:13" x14ac:dyDescent="0.25">
      <c r="A49" s="9" t="s">
        <v>280</v>
      </c>
      <c r="B49" s="9" t="s">
        <v>281</v>
      </c>
      <c r="C49" s="9" t="s">
        <v>279</v>
      </c>
      <c r="D49" s="9">
        <v>14</v>
      </c>
      <c r="E49" s="37">
        <f>Daily_Plan!B18</f>
        <v>46309</v>
      </c>
      <c r="F49" s="23">
        <f t="shared" si="4"/>
        <v>498</v>
      </c>
      <c r="G49" s="38">
        <f>Crude_Receipts!D18</f>
        <v>0</v>
      </c>
      <c r="H49" s="38">
        <f>Daily_Plan!E18</f>
        <v>40</v>
      </c>
      <c r="I49" s="39">
        <f t="shared" si="0"/>
        <v>458</v>
      </c>
      <c r="J49" s="38">
        <f>Tank_Master!$E$5</f>
        <v>100</v>
      </c>
      <c r="K49" s="38">
        <f>Tank_Master!$D$5</f>
        <v>1000</v>
      </c>
      <c r="L49" s="9" t="str">
        <f t="shared" si="1"/>
        <v>OK</v>
      </c>
      <c r="M49" s="40">
        <f t="shared" si="2"/>
        <v>0.45800000000000002</v>
      </c>
    </row>
    <row r="50" spans="1:13" x14ac:dyDescent="0.25">
      <c r="A50" s="9" t="s">
        <v>280</v>
      </c>
      <c r="B50" s="9" t="s">
        <v>281</v>
      </c>
      <c r="C50" s="9" t="s">
        <v>279</v>
      </c>
      <c r="D50" s="9">
        <v>15</v>
      </c>
      <c r="E50" s="37">
        <f>Daily_Plan!B19</f>
        <v>46310</v>
      </c>
      <c r="F50" s="23">
        <f t="shared" si="4"/>
        <v>458</v>
      </c>
      <c r="G50" s="38">
        <f>Crude_Receipts!D19</f>
        <v>0</v>
      </c>
      <c r="H50" s="38">
        <f>Daily_Plan!E19</f>
        <v>40</v>
      </c>
      <c r="I50" s="39">
        <f t="shared" si="0"/>
        <v>418</v>
      </c>
      <c r="J50" s="38">
        <f>Tank_Master!$E$5</f>
        <v>100</v>
      </c>
      <c r="K50" s="38">
        <f>Tank_Master!$D$5</f>
        <v>1000</v>
      </c>
      <c r="L50" s="9" t="str">
        <f t="shared" si="1"/>
        <v>OK</v>
      </c>
      <c r="M50" s="40">
        <f t="shared" si="2"/>
        <v>0.41799999999999998</v>
      </c>
    </row>
    <row r="51" spans="1:13" x14ac:dyDescent="0.25">
      <c r="A51" s="9" t="s">
        <v>280</v>
      </c>
      <c r="B51" s="9" t="s">
        <v>281</v>
      </c>
      <c r="C51" s="9" t="s">
        <v>279</v>
      </c>
      <c r="D51" s="9">
        <v>16</v>
      </c>
      <c r="E51" s="37">
        <f>Daily_Plan!B20</f>
        <v>46311</v>
      </c>
      <c r="F51" s="23">
        <f t="shared" si="4"/>
        <v>418</v>
      </c>
      <c r="G51" s="38">
        <f>Crude_Receipts!D20</f>
        <v>0</v>
      </c>
      <c r="H51" s="38">
        <f>Daily_Plan!E20</f>
        <v>40</v>
      </c>
      <c r="I51" s="39">
        <f t="shared" si="0"/>
        <v>378</v>
      </c>
      <c r="J51" s="38">
        <f>Tank_Master!$E$5</f>
        <v>100</v>
      </c>
      <c r="K51" s="38">
        <f>Tank_Master!$D$5</f>
        <v>1000</v>
      </c>
      <c r="L51" s="9" t="str">
        <f t="shared" si="1"/>
        <v>OK</v>
      </c>
      <c r="M51" s="40">
        <f t="shared" si="2"/>
        <v>0.378</v>
      </c>
    </row>
    <row r="52" spans="1:13" x14ac:dyDescent="0.25">
      <c r="A52" s="9" t="s">
        <v>280</v>
      </c>
      <c r="B52" s="9" t="s">
        <v>281</v>
      </c>
      <c r="C52" s="9" t="s">
        <v>279</v>
      </c>
      <c r="D52" s="9">
        <v>17</v>
      </c>
      <c r="E52" s="37">
        <f>Daily_Plan!B21</f>
        <v>46312</v>
      </c>
      <c r="F52" s="23">
        <f t="shared" si="4"/>
        <v>378</v>
      </c>
      <c r="G52" s="38">
        <f>Crude_Receipts!D21</f>
        <v>0</v>
      </c>
      <c r="H52" s="38">
        <f>Daily_Plan!E21</f>
        <v>40</v>
      </c>
      <c r="I52" s="39">
        <f t="shared" si="0"/>
        <v>338</v>
      </c>
      <c r="J52" s="38">
        <f>Tank_Master!$E$5</f>
        <v>100</v>
      </c>
      <c r="K52" s="38">
        <f>Tank_Master!$D$5</f>
        <v>1000</v>
      </c>
      <c r="L52" s="9" t="str">
        <f t="shared" si="1"/>
        <v>OK</v>
      </c>
      <c r="M52" s="40">
        <f t="shared" si="2"/>
        <v>0.33800000000000002</v>
      </c>
    </row>
    <row r="53" spans="1:13" x14ac:dyDescent="0.25">
      <c r="A53" s="9" t="s">
        <v>280</v>
      </c>
      <c r="B53" s="9" t="s">
        <v>281</v>
      </c>
      <c r="C53" s="9" t="s">
        <v>279</v>
      </c>
      <c r="D53" s="9">
        <v>18</v>
      </c>
      <c r="E53" s="37">
        <f>Daily_Plan!B22</f>
        <v>46313</v>
      </c>
      <c r="F53" s="23">
        <f t="shared" si="4"/>
        <v>338</v>
      </c>
      <c r="G53" s="38">
        <f>Crude_Receipts!D22</f>
        <v>0</v>
      </c>
      <c r="H53" s="38">
        <f>Daily_Plan!E22</f>
        <v>40</v>
      </c>
      <c r="I53" s="39">
        <f t="shared" si="0"/>
        <v>298</v>
      </c>
      <c r="J53" s="38">
        <f>Tank_Master!$E$5</f>
        <v>100</v>
      </c>
      <c r="K53" s="38">
        <f>Tank_Master!$D$5</f>
        <v>1000</v>
      </c>
      <c r="L53" s="9" t="str">
        <f t="shared" si="1"/>
        <v>OK</v>
      </c>
      <c r="M53" s="40">
        <f t="shared" si="2"/>
        <v>0.29799999999999999</v>
      </c>
    </row>
    <row r="54" spans="1:13" x14ac:dyDescent="0.25">
      <c r="A54" s="9" t="s">
        <v>280</v>
      </c>
      <c r="B54" s="9" t="s">
        <v>281</v>
      </c>
      <c r="C54" s="9" t="s">
        <v>279</v>
      </c>
      <c r="D54" s="9">
        <v>19</v>
      </c>
      <c r="E54" s="37">
        <f>Daily_Plan!B23</f>
        <v>46314</v>
      </c>
      <c r="F54" s="23">
        <f t="shared" si="4"/>
        <v>298</v>
      </c>
      <c r="G54" s="38">
        <f>Crude_Receipts!D23</f>
        <v>500</v>
      </c>
      <c r="H54" s="38">
        <f>Daily_Plan!E23</f>
        <v>40</v>
      </c>
      <c r="I54" s="39">
        <f t="shared" si="0"/>
        <v>758</v>
      </c>
      <c r="J54" s="38">
        <f>Tank_Master!$E$5</f>
        <v>100</v>
      </c>
      <c r="K54" s="38">
        <f>Tank_Master!$D$5</f>
        <v>1000</v>
      </c>
      <c r="L54" s="9" t="str">
        <f t="shared" si="1"/>
        <v>OK</v>
      </c>
      <c r="M54" s="40">
        <f t="shared" si="2"/>
        <v>0.75800000000000001</v>
      </c>
    </row>
    <row r="55" spans="1:13" x14ac:dyDescent="0.25">
      <c r="A55" s="9" t="s">
        <v>280</v>
      </c>
      <c r="B55" s="9" t="s">
        <v>281</v>
      </c>
      <c r="C55" s="9" t="s">
        <v>279</v>
      </c>
      <c r="D55" s="9">
        <v>20</v>
      </c>
      <c r="E55" s="37">
        <f>Daily_Plan!B24</f>
        <v>46315</v>
      </c>
      <c r="F55" s="23">
        <f t="shared" si="4"/>
        <v>758</v>
      </c>
      <c r="G55" s="38">
        <f>Crude_Receipts!D24</f>
        <v>0</v>
      </c>
      <c r="H55" s="38">
        <f>Daily_Plan!E24</f>
        <v>40</v>
      </c>
      <c r="I55" s="39">
        <f t="shared" si="0"/>
        <v>718</v>
      </c>
      <c r="J55" s="38">
        <f>Tank_Master!$E$5</f>
        <v>100</v>
      </c>
      <c r="K55" s="38">
        <f>Tank_Master!$D$5</f>
        <v>1000</v>
      </c>
      <c r="L55" s="9" t="str">
        <f t="shared" si="1"/>
        <v>OK</v>
      </c>
      <c r="M55" s="40">
        <f t="shared" si="2"/>
        <v>0.71799999999999997</v>
      </c>
    </row>
    <row r="56" spans="1:13" x14ac:dyDescent="0.25">
      <c r="A56" s="9" t="s">
        <v>280</v>
      </c>
      <c r="B56" s="9" t="s">
        <v>281</v>
      </c>
      <c r="C56" s="9" t="s">
        <v>279</v>
      </c>
      <c r="D56" s="9">
        <v>21</v>
      </c>
      <c r="E56" s="37">
        <f>Daily_Plan!B25</f>
        <v>46316</v>
      </c>
      <c r="F56" s="23">
        <f t="shared" si="4"/>
        <v>718</v>
      </c>
      <c r="G56" s="38">
        <f>Crude_Receipts!D25</f>
        <v>0</v>
      </c>
      <c r="H56" s="38">
        <f>Daily_Plan!E25</f>
        <v>40</v>
      </c>
      <c r="I56" s="39">
        <f t="shared" si="0"/>
        <v>678</v>
      </c>
      <c r="J56" s="38">
        <f>Tank_Master!$E$5</f>
        <v>100</v>
      </c>
      <c r="K56" s="38">
        <f>Tank_Master!$D$5</f>
        <v>1000</v>
      </c>
      <c r="L56" s="9" t="str">
        <f t="shared" si="1"/>
        <v>OK</v>
      </c>
      <c r="M56" s="40">
        <f t="shared" si="2"/>
        <v>0.67800000000000005</v>
      </c>
    </row>
    <row r="57" spans="1:13" x14ac:dyDescent="0.25">
      <c r="A57" s="9" t="s">
        <v>280</v>
      </c>
      <c r="B57" s="9" t="s">
        <v>281</v>
      </c>
      <c r="C57" s="9" t="s">
        <v>279</v>
      </c>
      <c r="D57" s="9">
        <v>22</v>
      </c>
      <c r="E57" s="37">
        <f>Daily_Plan!B26</f>
        <v>46317</v>
      </c>
      <c r="F57" s="23">
        <f t="shared" si="4"/>
        <v>678</v>
      </c>
      <c r="G57" s="38">
        <f>Crude_Receipts!D26</f>
        <v>0</v>
      </c>
      <c r="H57" s="38">
        <f>Daily_Plan!E26</f>
        <v>40</v>
      </c>
      <c r="I57" s="39">
        <f t="shared" si="0"/>
        <v>638</v>
      </c>
      <c r="J57" s="38">
        <f>Tank_Master!$E$5</f>
        <v>100</v>
      </c>
      <c r="K57" s="38">
        <f>Tank_Master!$D$5</f>
        <v>1000</v>
      </c>
      <c r="L57" s="9" t="str">
        <f t="shared" si="1"/>
        <v>OK</v>
      </c>
      <c r="M57" s="40">
        <f t="shared" si="2"/>
        <v>0.63800000000000001</v>
      </c>
    </row>
    <row r="58" spans="1:13" x14ac:dyDescent="0.25">
      <c r="A58" s="9" t="s">
        <v>280</v>
      </c>
      <c r="B58" s="9" t="s">
        <v>281</v>
      </c>
      <c r="C58" s="9" t="s">
        <v>279</v>
      </c>
      <c r="D58" s="9">
        <v>23</v>
      </c>
      <c r="E58" s="37">
        <f>Daily_Plan!B27</f>
        <v>46318</v>
      </c>
      <c r="F58" s="23">
        <f t="shared" si="4"/>
        <v>638</v>
      </c>
      <c r="G58" s="38">
        <f>Crude_Receipts!D27</f>
        <v>0</v>
      </c>
      <c r="H58" s="38">
        <f>Daily_Plan!E27</f>
        <v>40</v>
      </c>
      <c r="I58" s="39">
        <f t="shared" si="0"/>
        <v>598</v>
      </c>
      <c r="J58" s="38">
        <f>Tank_Master!$E$5</f>
        <v>100</v>
      </c>
      <c r="K58" s="38">
        <f>Tank_Master!$D$5</f>
        <v>1000</v>
      </c>
      <c r="L58" s="9" t="str">
        <f t="shared" si="1"/>
        <v>OK</v>
      </c>
      <c r="M58" s="40">
        <f t="shared" si="2"/>
        <v>0.59799999999999998</v>
      </c>
    </row>
    <row r="59" spans="1:13" x14ac:dyDescent="0.25">
      <c r="A59" s="9" t="s">
        <v>280</v>
      </c>
      <c r="B59" s="9" t="s">
        <v>281</v>
      </c>
      <c r="C59" s="9" t="s">
        <v>279</v>
      </c>
      <c r="D59" s="9">
        <v>24</v>
      </c>
      <c r="E59" s="37">
        <f>Daily_Plan!B28</f>
        <v>46319</v>
      </c>
      <c r="F59" s="23">
        <f t="shared" si="4"/>
        <v>598</v>
      </c>
      <c r="G59" s="38">
        <f>Crude_Receipts!D28</f>
        <v>0</v>
      </c>
      <c r="H59" s="38">
        <f>Daily_Plan!E28</f>
        <v>40</v>
      </c>
      <c r="I59" s="39">
        <f t="shared" si="0"/>
        <v>558</v>
      </c>
      <c r="J59" s="38">
        <f>Tank_Master!$E$5</f>
        <v>100</v>
      </c>
      <c r="K59" s="38">
        <f>Tank_Master!$D$5</f>
        <v>1000</v>
      </c>
      <c r="L59" s="9" t="str">
        <f t="shared" si="1"/>
        <v>OK</v>
      </c>
      <c r="M59" s="40">
        <f t="shared" si="2"/>
        <v>0.55800000000000005</v>
      </c>
    </row>
    <row r="60" spans="1:13" x14ac:dyDescent="0.25">
      <c r="A60" s="9" t="s">
        <v>280</v>
      </c>
      <c r="B60" s="9" t="s">
        <v>281</v>
      </c>
      <c r="C60" s="9" t="s">
        <v>279</v>
      </c>
      <c r="D60" s="9">
        <v>25</v>
      </c>
      <c r="E60" s="37">
        <f>Daily_Plan!B29</f>
        <v>46320</v>
      </c>
      <c r="F60" s="23">
        <f t="shared" si="4"/>
        <v>558</v>
      </c>
      <c r="G60" s="38">
        <f>Crude_Receipts!D29</f>
        <v>0</v>
      </c>
      <c r="H60" s="38">
        <f>Daily_Plan!E29</f>
        <v>40</v>
      </c>
      <c r="I60" s="39">
        <f t="shared" si="0"/>
        <v>518</v>
      </c>
      <c r="J60" s="38">
        <f>Tank_Master!$E$5</f>
        <v>100</v>
      </c>
      <c r="K60" s="38">
        <f>Tank_Master!$D$5</f>
        <v>1000</v>
      </c>
      <c r="L60" s="9" t="str">
        <f t="shared" si="1"/>
        <v>OK</v>
      </c>
      <c r="M60" s="40">
        <f t="shared" si="2"/>
        <v>0.51800000000000002</v>
      </c>
    </row>
    <row r="61" spans="1:13" x14ac:dyDescent="0.25">
      <c r="A61" s="9" t="s">
        <v>280</v>
      </c>
      <c r="B61" s="9" t="s">
        <v>281</v>
      </c>
      <c r="C61" s="9" t="s">
        <v>279</v>
      </c>
      <c r="D61" s="9">
        <v>26</v>
      </c>
      <c r="E61" s="37">
        <f>Daily_Plan!B30</f>
        <v>46321</v>
      </c>
      <c r="F61" s="23">
        <f t="shared" si="4"/>
        <v>518</v>
      </c>
      <c r="G61" s="38">
        <f>Crude_Receipts!D30</f>
        <v>0</v>
      </c>
      <c r="H61" s="38">
        <f>Daily_Plan!E30</f>
        <v>40</v>
      </c>
      <c r="I61" s="39">
        <f t="shared" si="0"/>
        <v>478</v>
      </c>
      <c r="J61" s="38">
        <f>Tank_Master!$E$5</f>
        <v>100</v>
      </c>
      <c r="K61" s="38">
        <f>Tank_Master!$D$5</f>
        <v>1000</v>
      </c>
      <c r="L61" s="9" t="str">
        <f t="shared" si="1"/>
        <v>OK</v>
      </c>
      <c r="M61" s="40">
        <f t="shared" si="2"/>
        <v>0.47799999999999998</v>
      </c>
    </row>
    <row r="62" spans="1:13" x14ac:dyDescent="0.25">
      <c r="A62" s="9" t="s">
        <v>280</v>
      </c>
      <c r="B62" s="9" t="s">
        <v>281</v>
      </c>
      <c r="C62" s="9" t="s">
        <v>279</v>
      </c>
      <c r="D62" s="9">
        <v>27</v>
      </c>
      <c r="E62" s="37">
        <f>Daily_Plan!B31</f>
        <v>46322</v>
      </c>
      <c r="F62" s="23">
        <f t="shared" si="4"/>
        <v>478</v>
      </c>
      <c r="G62" s="38">
        <f>Crude_Receipts!D31</f>
        <v>0</v>
      </c>
      <c r="H62" s="38">
        <f>Daily_Plan!E31</f>
        <v>40</v>
      </c>
      <c r="I62" s="39">
        <f t="shared" si="0"/>
        <v>438</v>
      </c>
      <c r="J62" s="38">
        <f>Tank_Master!$E$5</f>
        <v>100</v>
      </c>
      <c r="K62" s="38">
        <f>Tank_Master!$D$5</f>
        <v>1000</v>
      </c>
      <c r="L62" s="9" t="str">
        <f t="shared" si="1"/>
        <v>OK</v>
      </c>
      <c r="M62" s="40">
        <f t="shared" si="2"/>
        <v>0.438</v>
      </c>
    </row>
    <row r="63" spans="1:13" x14ac:dyDescent="0.25">
      <c r="A63" s="9" t="s">
        <v>280</v>
      </c>
      <c r="B63" s="9" t="s">
        <v>281</v>
      </c>
      <c r="C63" s="9" t="s">
        <v>279</v>
      </c>
      <c r="D63" s="9">
        <v>28</v>
      </c>
      <c r="E63" s="37">
        <f>Daily_Plan!B32</f>
        <v>46323</v>
      </c>
      <c r="F63" s="23">
        <f t="shared" si="4"/>
        <v>438</v>
      </c>
      <c r="G63" s="38">
        <f>Crude_Receipts!D32</f>
        <v>0</v>
      </c>
      <c r="H63" s="38">
        <f>Daily_Plan!E32</f>
        <v>40</v>
      </c>
      <c r="I63" s="39">
        <f t="shared" si="0"/>
        <v>398</v>
      </c>
      <c r="J63" s="38">
        <f>Tank_Master!$E$5</f>
        <v>100</v>
      </c>
      <c r="K63" s="38">
        <f>Tank_Master!$D$5</f>
        <v>1000</v>
      </c>
      <c r="L63" s="9" t="str">
        <f t="shared" si="1"/>
        <v>OK</v>
      </c>
      <c r="M63" s="40">
        <f t="shared" si="2"/>
        <v>0.39800000000000002</v>
      </c>
    </row>
    <row r="64" spans="1:13" x14ac:dyDescent="0.25">
      <c r="A64" s="9" t="s">
        <v>280</v>
      </c>
      <c r="B64" s="9" t="s">
        <v>281</v>
      </c>
      <c r="C64" s="9" t="s">
        <v>279</v>
      </c>
      <c r="D64" s="9">
        <v>29</v>
      </c>
      <c r="E64" s="37">
        <f>Daily_Plan!B33</f>
        <v>46324</v>
      </c>
      <c r="F64" s="23">
        <f t="shared" si="4"/>
        <v>398</v>
      </c>
      <c r="G64" s="38">
        <f>Crude_Receipts!D33</f>
        <v>0</v>
      </c>
      <c r="H64" s="38">
        <f>Daily_Plan!E33</f>
        <v>40</v>
      </c>
      <c r="I64" s="39">
        <f t="shared" si="0"/>
        <v>358</v>
      </c>
      <c r="J64" s="38">
        <f>Tank_Master!$E$5</f>
        <v>100</v>
      </c>
      <c r="K64" s="38">
        <f>Tank_Master!$D$5</f>
        <v>1000</v>
      </c>
      <c r="L64" s="9" t="str">
        <f t="shared" si="1"/>
        <v>OK</v>
      </c>
      <c r="M64" s="40">
        <f t="shared" si="2"/>
        <v>0.35799999999999998</v>
      </c>
    </row>
    <row r="65" spans="1:13" x14ac:dyDescent="0.25">
      <c r="A65" s="9" t="s">
        <v>280</v>
      </c>
      <c r="B65" s="9" t="s">
        <v>281</v>
      </c>
      <c r="C65" s="9" t="s">
        <v>279</v>
      </c>
      <c r="D65" s="9">
        <v>30</v>
      </c>
      <c r="E65" s="37">
        <f>Daily_Plan!B34</f>
        <v>46325</v>
      </c>
      <c r="F65" s="23">
        <f t="shared" si="4"/>
        <v>358</v>
      </c>
      <c r="G65" s="38">
        <f>Crude_Receipts!D34</f>
        <v>0</v>
      </c>
      <c r="H65" s="38">
        <f>Daily_Plan!E34</f>
        <v>40</v>
      </c>
      <c r="I65" s="39">
        <f t="shared" si="0"/>
        <v>318</v>
      </c>
      <c r="J65" s="38">
        <f>Tank_Master!$E$5</f>
        <v>100</v>
      </c>
      <c r="K65" s="38">
        <f>Tank_Master!$D$5</f>
        <v>1000</v>
      </c>
      <c r="L65" s="9" t="str">
        <f t="shared" si="1"/>
        <v>OK</v>
      </c>
      <c r="M65" s="40">
        <f t="shared" si="2"/>
        <v>0.318</v>
      </c>
    </row>
    <row r="66" spans="1:13" x14ac:dyDescent="0.25">
      <c r="A66" s="9" t="s">
        <v>280</v>
      </c>
      <c r="B66" s="9" t="s">
        <v>281</v>
      </c>
      <c r="C66" s="9" t="s">
        <v>279</v>
      </c>
      <c r="D66" s="9">
        <v>31</v>
      </c>
      <c r="E66" s="37">
        <f>Daily_Plan!B35</f>
        <v>46326</v>
      </c>
      <c r="F66" s="23">
        <f t="shared" si="4"/>
        <v>318</v>
      </c>
      <c r="G66" s="38">
        <f>Crude_Receipts!D35</f>
        <v>0</v>
      </c>
      <c r="H66" s="38">
        <f>Daily_Plan!E35</f>
        <v>40</v>
      </c>
      <c r="I66" s="39">
        <f t="shared" si="0"/>
        <v>278</v>
      </c>
      <c r="J66" s="38">
        <f>Tank_Master!$E$5</f>
        <v>100</v>
      </c>
      <c r="K66" s="38">
        <f>Tank_Master!$D$5</f>
        <v>1000</v>
      </c>
      <c r="L66" s="9" t="str">
        <f t="shared" si="1"/>
        <v>OK</v>
      </c>
      <c r="M66" s="40">
        <f t="shared" si="2"/>
        <v>0.27800000000000002</v>
      </c>
    </row>
    <row r="67" spans="1:13" x14ac:dyDescent="0.25">
      <c r="A67" s="9" t="s">
        <v>282</v>
      </c>
      <c r="B67" s="9" t="s">
        <v>283</v>
      </c>
      <c r="C67" s="9" t="s">
        <v>279</v>
      </c>
      <c r="D67" s="9">
        <v>1</v>
      </c>
      <c r="E67" s="37">
        <f>Daily_Plan!B5</f>
        <v>46296</v>
      </c>
      <c r="F67" s="38">
        <f>Tank_Master!$F$6</f>
        <v>450</v>
      </c>
      <c r="G67" s="38">
        <f>Crude_Receipts!E5</f>
        <v>0</v>
      </c>
      <c r="H67" s="38">
        <f>Daily_Plan!F5</f>
        <v>40</v>
      </c>
      <c r="I67" s="39">
        <f t="shared" si="0"/>
        <v>410</v>
      </c>
      <c r="J67" s="38">
        <f>Tank_Master!$E$6</f>
        <v>90</v>
      </c>
      <c r="K67" s="38">
        <f>Tank_Master!$D$6</f>
        <v>900</v>
      </c>
      <c r="L67" s="9" t="str">
        <f t="shared" si="1"/>
        <v>OK</v>
      </c>
      <c r="M67" s="40">
        <f t="shared" si="2"/>
        <v>0.45555555555555555</v>
      </c>
    </row>
    <row r="68" spans="1:13" x14ac:dyDescent="0.25">
      <c r="A68" s="9" t="s">
        <v>282</v>
      </c>
      <c r="B68" s="9" t="s">
        <v>283</v>
      </c>
      <c r="C68" s="9" t="s">
        <v>279</v>
      </c>
      <c r="D68" s="9">
        <v>2</v>
      </c>
      <c r="E68" s="37">
        <f>Daily_Plan!B6</f>
        <v>46297</v>
      </c>
      <c r="F68" s="23">
        <f t="shared" ref="F68:F97" si="5">I67</f>
        <v>410</v>
      </c>
      <c r="G68" s="38">
        <f>Crude_Receipts!E6</f>
        <v>0</v>
      </c>
      <c r="H68" s="38">
        <f>Daily_Plan!F6</f>
        <v>40</v>
      </c>
      <c r="I68" s="39">
        <f t="shared" si="0"/>
        <v>370</v>
      </c>
      <c r="J68" s="38">
        <f>Tank_Master!$E$6</f>
        <v>90</v>
      </c>
      <c r="K68" s="38">
        <f>Tank_Master!$D$6</f>
        <v>900</v>
      </c>
      <c r="L68" s="9" t="str">
        <f t="shared" si="1"/>
        <v>OK</v>
      </c>
      <c r="M68" s="40">
        <f t="shared" si="2"/>
        <v>0.41111111111111109</v>
      </c>
    </row>
    <row r="69" spans="1:13" x14ac:dyDescent="0.25">
      <c r="A69" s="9" t="s">
        <v>282</v>
      </c>
      <c r="B69" s="9" t="s">
        <v>283</v>
      </c>
      <c r="C69" s="9" t="s">
        <v>279</v>
      </c>
      <c r="D69" s="9">
        <v>3</v>
      </c>
      <c r="E69" s="37">
        <f>Daily_Plan!B7</f>
        <v>46298</v>
      </c>
      <c r="F69" s="23">
        <f t="shared" si="5"/>
        <v>370</v>
      </c>
      <c r="G69" s="38">
        <f>Crude_Receipts!E7</f>
        <v>0</v>
      </c>
      <c r="H69" s="38">
        <f>Daily_Plan!F7</f>
        <v>41</v>
      </c>
      <c r="I69" s="39">
        <f t="shared" ref="I69:I132" si="6">F69+G69-H69</f>
        <v>329</v>
      </c>
      <c r="J69" s="38">
        <f>Tank_Master!$E$6</f>
        <v>90</v>
      </c>
      <c r="K69" s="38">
        <f>Tank_Master!$D$6</f>
        <v>900</v>
      </c>
      <c r="L69" s="9" t="str">
        <f t="shared" ref="L69:L132" si="7">IF(I69&lt;J69-0.001,"BELOW MIN",IF(I69&gt;K69+0.001,"ABOVE MAX","OK"))</f>
        <v>OK</v>
      </c>
      <c r="M69" s="40">
        <f t="shared" ref="M69:M132" si="8">IF(K69&gt;0,I69/K69,0)</f>
        <v>0.36555555555555558</v>
      </c>
    </row>
    <row r="70" spans="1:13" x14ac:dyDescent="0.25">
      <c r="A70" s="9" t="s">
        <v>282</v>
      </c>
      <c r="B70" s="9" t="s">
        <v>283</v>
      </c>
      <c r="C70" s="9" t="s">
        <v>279</v>
      </c>
      <c r="D70" s="9">
        <v>4</v>
      </c>
      <c r="E70" s="37">
        <f>Daily_Plan!B8</f>
        <v>46299</v>
      </c>
      <c r="F70" s="23">
        <f t="shared" si="5"/>
        <v>329</v>
      </c>
      <c r="G70" s="38">
        <f>Crude_Receipts!E8</f>
        <v>0</v>
      </c>
      <c r="H70" s="38">
        <f>Daily_Plan!F8</f>
        <v>39</v>
      </c>
      <c r="I70" s="39">
        <f t="shared" si="6"/>
        <v>290</v>
      </c>
      <c r="J70" s="38">
        <f>Tank_Master!$E$6</f>
        <v>90</v>
      </c>
      <c r="K70" s="38">
        <f>Tank_Master!$D$6</f>
        <v>900</v>
      </c>
      <c r="L70" s="9" t="str">
        <f t="shared" si="7"/>
        <v>OK</v>
      </c>
      <c r="M70" s="40">
        <f t="shared" si="8"/>
        <v>0.32222222222222224</v>
      </c>
    </row>
    <row r="71" spans="1:13" x14ac:dyDescent="0.25">
      <c r="A71" s="9" t="s">
        <v>282</v>
      </c>
      <c r="B71" s="9" t="s">
        <v>283</v>
      </c>
      <c r="C71" s="9" t="s">
        <v>279</v>
      </c>
      <c r="D71" s="9">
        <v>5</v>
      </c>
      <c r="E71" s="37">
        <f>Daily_Plan!B9</f>
        <v>46300</v>
      </c>
      <c r="F71" s="23">
        <f t="shared" si="5"/>
        <v>290</v>
      </c>
      <c r="G71" s="38">
        <f>Crude_Receipts!E9</f>
        <v>0</v>
      </c>
      <c r="H71" s="38">
        <f>Daily_Plan!F9</f>
        <v>37</v>
      </c>
      <c r="I71" s="39">
        <f t="shared" si="6"/>
        <v>253</v>
      </c>
      <c r="J71" s="38">
        <f>Tank_Master!$E$6</f>
        <v>90</v>
      </c>
      <c r="K71" s="38">
        <f>Tank_Master!$D$6</f>
        <v>900</v>
      </c>
      <c r="L71" s="9" t="str">
        <f t="shared" si="7"/>
        <v>OK</v>
      </c>
      <c r="M71" s="40">
        <f t="shared" si="8"/>
        <v>0.28111111111111109</v>
      </c>
    </row>
    <row r="72" spans="1:13" x14ac:dyDescent="0.25">
      <c r="A72" s="9" t="s">
        <v>282</v>
      </c>
      <c r="B72" s="9" t="s">
        <v>283</v>
      </c>
      <c r="C72" s="9" t="s">
        <v>279</v>
      </c>
      <c r="D72" s="9">
        <v>6</v>
      </c>
      <c r="E72" s="37">
        <f>Daily_Plan!B10</f>
        <v>46301</v>
      </c>
      <c r="F72" s="23">
        <f t="shared" si="5"/>
        <v>253</v>
      </c>
      <c r="G72" s="38">
        <f>Crude_Receipts!E10</f>
        <v>400</v>
      </c>
      <c r="H72" s="38">
        <f>Daily_Plan!F10</f>
        <v>38</v>
      </c>
      <c r="I72" s="39">
        <f t="shared" si="6"/>
        <v>615</v>
      </c>
      <c r="J72" s="38">
        <f>Tank_Master!$E$6</f>
        <v>90</v>
      </c>
      <c r="K72" s="38">
        <f>Tank_Master!$D$6</f>
        <v>900</v>
      </c>
      <c r="L72" s="9" t="str">
        <f t="shared" si="7"/>
        <v>OK</v>
      </c>
      <c r="M72" s="40">
        <f t="shared" si="8"/>
        <v>0.68333333333333335</v>
      </c>
    </row>
    <row r="73" spans="1:13" x14ac:dyDescent="0.25">
      <c r="A73" s="9" t="s">
        <v>282</v>
      </c>
      <c r="B73" s="9" t="s">
        <v>283</v>
      </c>
      <c r="C73" s="9" t="s">
        <v>279</v>
      </c>
      <c r="D73" s="9">
        <v>7</v>
      </c>
      <c r="E73" s="37">
        <f>Daily_Plan!B11</f>
        <v>46302</v>
      </c>
      <c r="F73" s="23">
        <f t="shared" si="5"/>
        <v>615</v>
      </c>
      <c r="G73" s="38">
        <f>Crude_Receipts!E11</f>
        <v>0</v>
      </c>
      <c r="H73" s="38">
        <f>Daily_Plan!F11</f>
        <v>40</v>
      </c>
      <c r="I73" s="39">
        <f t="shared" si="6"/>
        <v>575</v>
      </c>
      <c r="J73" s="38">
        <f>Tank_Master!$E$6</f>
        <v>90</v>
      </c>
      <c r="K73" s="38">
        <f>Tank_Master!$D$6</f>
        <v>900</v>
      </c>
      <c r="L73" s="9" t="str">
        <f t="shared" si="7"/>
        <v>OK</v>
      </c>
      <c r="M73" s="40">
        <f t="shared" si="8"/>
        <v>0.63888888888888884</v>
      </c>
    </row>
    <row r="74" spans="1:13" x14ac:dyDescent="0.25">
      <c r="A74" s="9" t="s">
        <v>282</v>
      </c>
      <c r="B74" s="9" t="s">
        <v>283</v>
      </c>
      <c r="C74" s="9" t="s">
        <v>279</v>
      </c>
      <c r="D74" s="9">
        <v>8</v>
      </c>
      <c r="E74" s="37">
        <f>Daily_Plan!B12</f>
        <v>46303</v>
      </c>
      <c r="F74" s="23">
        <f t="shared" si="5"/>
        <v>575</v>
      </c>
      <c r="G74" s="38">
        <f>Crude_Receipts!E12</f>
        <v>0</v>
      </c>
      <c r="H74" s="38">
        <f>Daily_Plan!F12</f>
        <v>40</v>
      </c>
      <c r="I74" s="39">
        <f t="shared" si="6"/>
        <v>535</v>
      </c>
      <c r="J74" s="38">
        <f>Tank_Master!$E$6</f>
        <v>90</v>
      </c>
      <c r="K74" s="38">
        <f>Tank_Master!$D$6</f>
        <v>900</v>
      </c>
      <c r="L74" s="9" t="str">
        <f t="shared" si="7"/>
        <v>OK</v>
      </c>
      <c r="M74" s="40">
        <f t="shared" si="8"/>
        <v>0.59444444444444444</v>
      </c>
    </row>
    <row r="75" spans="1:13" x14ac:dyDescent="0.25">
      <c r="A75" s="9" t="s">
        <v>282</v>
      </c>
      <c r="B75" s="9" t="s">
        <v>283</v>
      </c>
      <c r="C75" s="9" t="s">
        <v>279</v>
      </c>
      <c r="D75" s="9">
        <v>9</v>
      </c>
      <c r="E75" s="37">
        <f>Daily_Plan!B13</f>
        <v>46304</v>
      </c>
      <c r="F75" s="23">
        <f t="shared" si="5"/>
        <v>535</v>
      </c>
      <c r="G75" s="38">
        <f>Crude_Receipts!E13</f>
        <v>0</v>
      </c>
      <c r="H75" s="38">
        <f>Daily_Plan!F13</f>
        <v>41</v>
      </c>
      <c r="I75" s="39">
        <f t="shared" si="6"/>
        <v>494</v>
      </c>
      <c r="J75" s="38">
        <f>Tank_Master!$E$6</f>
        <v>90</v>
      </c>
      <c r="K75" s="38">
        <f>Tank_Master!$D$6</f>
        <v>900</v>
      </c>
      <c r="L75" s="9" t="str">
        <f t="shared" si="7"/>
        <v>OK</v>
      </c>
      <c r="M75" s="40">
        <f t="shared" si="8"/>
        <v>0.54888888888888887</v>
      </c>
    </row>
    <row r="76" spans="1:13" x14ac:dyDescent="0.25">
      <c r="A76" s="9" t="s">
        <v>282</v>
      </c>
      <c r="B76" s="9" t="s">
        <v>283</v>
      </c>
      <c r="C76" s="9" t="s">
        <v>279</v>
      </c>
      <c r="D76" s="9">
        <v>10</v>
      </c>
      <c r="E76" s="37">
        <f>Daily_Plan!B14</f>
        <v>46305</v>
      </c>
      <c r="F76" s="23">
        <f t="shared" si="5"/>
        <v>494</v>
      </c>
      <c r="G76" s="38">
        <f>Crude_Receipts!E14</f>
        <v>0</v>
      </c>
      <c r="H76" s="38">
        <f>Daily_Plan!F14</f>
        <v>40</v>
      </c>
      <c r="I76" s="39">
        <f t="shared" si="6"/>
        <v>454</v>
      </c>
      <c r="J76" s="38">
        <f>Tank_Master!$E$6</f>
        <v>90</v>
      </c>
      <c r="K76" s="38">
        <f>Tank_Master!$D$6</f>
        <v>900</v>
      </c>
      <c r="L76" s="9" t="str">
        <f t="shared" si="7"/>
        <v>OK</v>
      </c>
      <c r="M76" s="40">
        <f t="shared" si="8"/>
        <v>0.50444444444444447</v>
      </c>
    </row>
    <row r="77" spans="1:13" x14ac:dyDescent="0.25">
      <c r="A77" s="9" t="s">
        <v>282</v>
      </c>
      <c r="B77" s="9" t="s">
        <v>283</v>
      </c>
      <c r="C77" s="9" t="s">
        <v>279</v>
      </c>
      <c r="D77" s="9">
        <v>11</v>
      </c>
      <c r="E77" s="37">
        <f>Daily_Plan!B15</f>
        <v>46306</v>
      </c>
      <c r="F77" s="23">
        <f t="shared" si="5"/>
        <v>454</v>
      </c>
      <c r="G77" s="38">
        <f>Crude_Receipts!E15</f>
        <v>0</v>
      </c>
      <c r="H77" s="38">
        <f>Daily_Plan!F15</f>
        <v>40</v>
      </c>
      <c r="I77" s="39">
        <f t="shared" si="6"/>
        <v>414</v>
      </c>
      <c r="J77" s="38">
        <f>Tank_Master!$E$6</f>
        <v>90</v>
      </c>
      <c r="K77" s="38">
        <f>Tank_Master!$D$6</f>
        <v>900</v>
      </c>
      <c r="L77" s="9" t="str">
        <f t="shared" si="7"/>
        <v>OK</v>
      </c>
      <c r="M77" s="40">
        <f t="shared" si="8"/>
        <v>0.46</v>
      </c>
    </row>
    <row r="78" spans="1:13" x14ac:dyDescent="0.25">
      <c r="A78" s="9" t="s">
        <v>282</v>
      </c>
      <c r="B78" s="9" t="s">
        <v>283</v>
      </c>
      <c r="C78" s="9" t="s">
        <v>279</v>
      </c>
      <c r="D78" s="9">
        <v>12</v>
      </c>
      <c r="E78" s="37">
        <f>Daily_Plan!B16</f>
        <v>46307</v>
      </c>
      <c r="F78" s="23">
        <f t="shared" si="5"/>
        <v>414</v>
      </c>
      <c r="G78" s="38">
        <f>Crude_Receipts!E16</f>
        <v>0</v>
      </c>
      <c r="H78" s="38">
        <f>Daily_Plan!F16</f>
        <v>40</v>
      </c>
      <c r="I78" s="39">
        <f t="shared" si="6"/>
        <v>374</v>
      </c>
      <c r="J78" s="38">
        <f>Tank_Master!$E$6</f>
        <v>90</v>
      </c>
      <c r="K78" s="38">
        <f>Tank_Master!$D$6</f>
        <v>900</v>
      </c>
      <c r="L78" s="9" t="str">
        <f t="shared" si="7"/>
        <v>OK</v>
      </c>
      <c r="M78" s="40">
        <f t="shared" si="8"/>
        <v>0.41555555555555557</v>
      </c>
    </row>
    <row r="79" spans="1:13" x14ac:dyDescent="0.25">
      <c r="A79" s="9" t="s">
        <v>282</v>
      </c>
      <c r="B79" s="9" t="s">
        <v>283</v>
      </c>
      <c r="C79" s="9" t="s">
        <v>279</v>
      </c>
      <c r="D79" s="9">
        <v>13</v>
      </c>
      <c r="E79" s="37">
        <f>Daily_Plan!B17</f>
        <v>46308</v>
      </c>
      <c r="F79" s="23">
        <f t="shared" si="5"/>
        <v>374</v>
      </c>
      <c r="G79" s="38">
        <f>Crude_Receipts!E17</f>
        <v>0</v>
      </c>
      <c r="H79" s="38">
        <f>Daily_Plan!F17</f>
        <v>40</v>
      </c>
      <c r="I79" s="39">
        <f t="shared" si="6"/>
        <v>334</v>
      </c>
      <c r="J79" s="38">
        <f>Tank_Master!$E$6</f>
        <v>90</v>
      </c>
      <c r="K79" s="38">
        <f>Tank_Master!$D$6</f>
        <v>900</v>
      </c>
      <c r="L79" s="9" t="str">
        <f t="shared" si="7"/>
        <v>OK</v>
      </c>
      <c r="M79" s="40">
        <f t="shared" si="8"/>
        <v>0.37111111111111111</v>
      </c>
    </row>
    <row r="80" spans="1:13" x14ac:dyDescent="0.25">
      <c r="A80" s="9" t="s">
        <v>282</v>
      </c>
      <c r="B80" s="9" t="s">
        <v>283</v>
      </c>
      <c r="C80" s="9" t="s">
        <v>279</v>
      </c>
      <c r="D80" s="9">
        <v>14</v>
      </c>
      <c r="E80" s="37">
        <f>Daily_Plan!B18</f>
        <v>46309</v>
      </c>
      <c r="F80" s="23">
        <f t="shared" si="5"/>
        <v>334</v>
      </c>
      <c r="G80" s="38">
        <f>Crude_Receipts!E18</f>
        <v>0</v>
      </c>
      <c r="H80" s="38">
        <f>Daily_Plan!F18</f>
        <v>40</v>
      </c>
      <c r="I80" s="39">
        <f t="shared" si="6"/>
        <v>294</v>
      </c>
      <c r="J80" s="38">
        <f>Tank_Master!$E$6</f>
        <v>90</v>
      </c>
      <c r="K80" s="38">
        <f>Tank_Master!$D$6</f>
        <v>900</v>
      </c>
      <c r="L80" s="9" t="str">
        <f t="shared" si="7"/>
        <v>OK</v>
      </c>
      <c r="M80" s="40">
        <f t="shared" si="8"/>
        <v>0.32666666666666666</v>
      </c>
    </row>
    <row r="81" spans="1:13" x14ac:dyDescent="0.25">
      <c r="A81" s="9" t="s">
        <v>282</v>
      </c>
      <c r="B81" s="9" t="s">
        <v>283</v>
      </c>
      <c r="C81" s="9" t="s">
        <v>279</v>
      </c>
      <c r="D81" s="9">
        <v>15</v>
      </c>
      <c r="E81" s="37">
        <f>Daily_Plan!B19</f>
        <v>46310</v>
      </c>
      <c r="F81" s="23">
        <f t="shared" si="5"/>
        <v>294</v>
      </c>
      <c r="G81" s="38">
        <f>Crude_Receipts!E19</f>
        <v>0</v>
      </c>
      <c r="H81" s="38">
        <f>Daily_Plan!F19</f>
        <v>40</v>
      </c>
      <c r="I81" s="39">
        <f t="shared" si="6"/>
        <v>254</v>
      </c>
      <c r="J81" s="38">
        <f>Tank_Master!$E$6</f>
        <v>90</v>
      </c>
      <c r="K81" s="38">
        <f>Tank_Master!$D$6</f>
        <v>900</v>
      </c>
      <c r="L81" s="9" t="str">
        <f t="shared" si="7"/>
        <v>OK</v>
      </c>
      <c r="M81" s="40">
        <f t="shared" si="8"/>
        <v>0.28222222222222221</v>
      </c>
    </row>
    <row r="82" spans="1:13" x14ac:dyDescent="0.25">
      <c r="A82" s="9" t="s">
        <v>282</v>
      </c>
      <c r="B82" s="9" t="s">
        <v>283</v>
      </c>
      <c r="C82" s="9" t="s">
        <v>279</v>
      </c>
      <c r="D82" s="9">
        <v>16</v>
      </c>
      <c r="E82" s="37">
        <f>Daily_Plan!B20</f>
        <v>46311</v>
      </c>
      <c r="F82" s="23">
        <f t="shared" si="5"/>
        <v>254</v>
      </c>
      <c r="G82" s="38">
        <f>Crude_Receipts!E20</f>
        <v>400</v>
      </c>
      <c r="H82" s="38">
        <f>Daily_Plan!F20</f>
        <v>40</v>
      </c>
      <c r="I82" s="39">
        <f t="shared" si="6"/>
        <v>614</v>
      </c>
      <c r="J82" s="38">
        <f>Tank_Master!$E$6</f>
        <v>90</v>
      </c>
      <c r="K82" s="38">
        <f>Tank_Master!$D$6</f>
        <v>900</v>
      </c>
      <c r="L82" s="9" t="str">
        <f t="shared" si="7"/>
        <v>OK</v>
      </c>
      <c r="M82" s="40">
        <f t="shared" si="8"/>
        <v>0.68222222222222217</v>
      </c>
    </row>
    <row r="83" spans="1:13" x14ac:dyDescent="0.25">
      <c r="A83" s="9" t="s">
        <v>282</v>
      </c>
      <c r="B83" s="9" t="s">
        <v>283</v>
      </c>
      <c r="C83" s="9" t="s">
        <v>279</v>
      </c>
      <c r="D83" s="9">
        <v>17</v>
      </c>
      <c r="E83" s="37">
        <f>Daily_Plan!B21</f>
        <v>46312</v>
      </c>
      <c r="F83" s="23">
        <f t="shared" si="5"/>
        <v>614</v>
      </c>
      <c r="G83" s="38">
        <f>Crude_Receipts!E21</f>
        <v>0</v>
      </c>
      <c r="H83" s="38">
        <f>Daily_Plan!F21</f>
        <v>40</v>
      </c>
      <c r="I83" s="39">
        <f t="shared" si="6"/>
        <v>574</v>
      </c>
      <c r="J83" s="38">
        <f>Tank_Master!$E$6</f>
        <v>90</v>
      </c>
      <c r="K83" s="38">
        <f>Tank_Master!$D$6</f>
        <v>900</v>
      </c>
      <c r="L83" s="9" t="str">
        <f t="shared" si="7"/>
        <v>OK</v>
      </c>
      <c r="M83" s="40">
        <f t="shared" si="8"/>
        <v>0.63777777777777778</v>
      </c>
    </row>
    <row r="84" spans="1:13" x14ac:dyDescent="0.25">
      <c r="A84" s="9" t="s">
        <v>282</v>
      </c>
      <c r="B84" s="9" t="s">
        <v>283</v>
      </c>
      <c r="C84" s="9" t="s">
        <v>279</v>
      </c>
      <c r="D84" s="9">
        <v>18</v>
      </c>
      <c r="E84" s="37">
        <f>Daily_Plan!B22</f>
        <v>46313</v>
      </c>
      <c r="F84" s="23">
        <f t="shared" si="5"/>
        <v>574</v>
      </c>
      <c r="G84" s="38">
        <f>Crude_Receipts!E22</f>
        <v>0</v>
      </c>
      <c r="H84" s="38">
        <f>Daily_Plan!F22</f>
        <v>40</v>
      </c>
      <c r="I84" s="39">
        <f t="shared" si="6"/>
        <v>534</v>
      </c>
      <c r="J84" s="38">
        <f>Tank_Master!$E$6</f>
        <v>90</v>
      </c>
      <c r="K84" s="38">
        <f>Tank_Master!$D$6</f>
        <v>900</v>
      </c>
      <c r="L84" s="9" t="str">
        <f t="shared" si="7"/>
        <v>OK</v>
      </c>
      <c r="M84" s="40">
        <f t="shared" si="8"/>
        <v>0.59333333333333338</v>
      </c>
    </row>
    <row r="85" spans="1:13" x14ac:dyDescent="0.25">
      <c r="A85" s="9" t="s">
        <v>282</v>
      </c>
      <c r="B85" s="9" t="s">
        <v>283</v>
      </c>
      <c r="C85" s="9" t="s">
        <v>279</v>
      </c>
      <c r="D85" s="9">
        <v>19</v>
      </c>
      <c r="E85" s="37">
        <f>Daily_Plan!B23</f>
        <v>46314</v>
      </c>
      <c r="F85" s="23">
        <f t="shared" si="5"/>
        <v>534</v>
      </c>
      <c r="G85" s="38">
        <f>Crude_Receipts!E23</f>
        <v>0</v>
      </c>
      <c r="H85" s="38">
        <f>Daily_Plan!F23</f>
        <v>40</v>
      </c>
      <c r="I85" s="39">
        <f t="shared" si="6"/>
        <v>494</v>
      </c>
      <c r="J85" s="38">
        <f>Tank_Master!$E$6</f>
        <v>90</v>
      </c>
      <c r="K85" s="38">
        <f>Tank_Master!$D$6</f>
        <v>900</v>
      </c>
      <c r="L85" s="9" t="str">
        <f t="shared" si="7"/>
        <v>OK</v>
      </c>
      <c r="M85" s="40">
        <f t="shared" si="8"/>
        <v>0.54888888888888887</v>
      </c>
    </row>
    <row r="86" spans="1:13" x14ac:dyDescent="0.25">
      <c r="A86" s="9" t="s">
        <v>282</v>
      </c>
      <c r="B86" s="9" t="s">
        <v>283</v>
      </c>
      <c r="C86" s="9" t="s">
        <v>279</v>
      </c>
      <c r="D86" s="9">
        <v>20</v>
      </c>
      <c r="E86" s="37">
        <f>Daily_Plan!B24</f>
        <v>46315</v>
      </c>
      <c r="F86" s="23">
        <f t="shared" si="5"/>
        <v>494</v>
      </c>
      <c r="G86" s="38">
        <f>Crude_Receipts!E24</f>
        <v>0</v>
      </c>
      <c r="H86" s="38">
        <f>Daily_Plan!F24</f>
        <v>40</v>
      </c>
      <c r="I86" s="39">
        <f t="shared" si="6"/>
        <v>454</v>
      </c>
      <c r="J86" s="38">
        <f>Tank_Master!$E$6</f>
        <v>90</v>
      </c>
      <c r="K86" s="38">
        <f>Tank_Master!$D$6</f>
        <v>900</v>
      </c>
      <c r="L86" s="9" t="str">
        <f t="shared" si="7"/>
        <v>OK</v>
      </c>
      <c r="M86" s="40">
        <f t="shared" si="8"/>
        <v>0.50444444444444447</v>
      </c>
    </row>
    <row r="87" spans="1:13" x14ac:dyDescent="0.25">
      <c r="A87" s="9" t="s">
        <v>282</v>
      </c>
      <c r="B87" s="9" t="s">
        <v>283</v>
      </c>
      <c r="C87" s="9" t="s">
        <v>279</v>
      </c>
      <c r="D87" s="9">
        <v>21</v>
      </c>
      <c r="E87" s="37">
        <f>Daily_Plan!B25</f>
        <v>46316</v>
      </c>
      <c r="F87" s="23">
        <f t="shared" si="5"/>
        <v>454</v>
      </c>
      <c r="G87" s="38">
        <f>Crude_Receipts!E25</f>
        <v>0</v>
      </c>
      <c r="H87" s="38">
        <f>Daily_Plan!F25</f>
        <v>40</v>
      </c>
      <c r="I87" s="39">
        <f t="shared" si="6"/>
        <v>414</v>
      </c>
      <c r="J87" s="38">
        <f>Tank_Master!$E$6</f>
        <v>90</v>
      </c>
      <c r="K87" s="38">
        <f>Tank_Master!$D$6</f>
        <v>900</v>
      </c>
      <c r="L87" s="9" t="str">
        <f t="shared" si="7"/>
        <v>OK</v>
      </c>
      <c r="M87" s="40">
        <f t="shared" si="8"/>
        <v>0.46</v>
      </c>
    </row>
    <row r="88" spans="1:13" x14ac:dyDescent="0.25">
      <c r="A88" s="9" t="s">
        <v>282</v>
      </c>
      <c r="B88" s="9" t="s">
        <v>283</v>
      </c>
      <c r="C88" s="9" t="s">
        <v>279</v>
      </c>
      <c r="D88" s="9">
        <v>22</v>
      </c>
      <c r="E88" s="37">
        <f>Daily_Plan!B26</f>
        <v>46317</v>
      </c>
      <c r="F88" s="23">
        <f t="shared" si="5"/>
        <v>414</v>
      </c>
      <c r="G88" s="38">
        <f>Crude_Receipts!E26</f>
        <v>0</v>
      </c>
      <c r="H88" s="38">
        <f>Daily_Plan!F26</f>
        <v>40</v>
      </c>
      <c r="I88" s="39">
        <f t="shared" si="6"/>
        <v>374</v>
      </c>
      <c r="J88" s="38">
        <f>Tank_Master!$E$6</f>
        <v>90</v>
      </c>
      <c r="K88" s="38">
        <f>Tank_Master!$D$6</f>
        <v>900</v>
      </c>
      <c r="L88" s="9" t="str">
        <f t="shared" si="7"/>
        <v>OK</v>
      </c>
      <c r="M88" s="40">
        <f t="shared" si="8"/>
        <v>0.41555555555555557</v>
      </c>
    </row>
    <row r="89" spans="1:13" x14ac:dyDescent="0.25">
      <c r="A89" s="9" t="s">
        <v>282</v>
      </c>
      <c r="B89" s="9" t="s">
        <v>283</v>
      </c>
      <c r="C89" s="9" t="s">
        <v>279</v>
      </c>
      <c r="D89" s="9">
        <v>23</v>
      </c>
      <c r="E89" s="37">
        <f>Daily_Plan!B27</f>
        <v>46318</v>
      </c>
      <c r="F89" s="23">
        <f t="shared" si="5"/>
        <v>374</v>
      </c>
      <c r="G89" s="38">
        <f>Crude_Receipts!E27</f>
        <v>0</v>
      </c>
      <c r="H89" s="38">
        <f>Daily_Plan!F27</f>
        <v>40</v>
      </c>
      <c r="I89" s="39">
        <f t="shared" si="6"/>
        <v>334</v>
      </c>
      <c r="J89" s="38">
        <f>Tank_Master!$E$6</f>
        <v>90</v>
      </c>
      <c r="K89" s="38">
        <f>Tank_Master!$D$6</f>
        <v>900</v>
      </c>
      <c r="L89" s="9" t="str">
        <f t="shared" si="7"/>
        <v>OK</v>
      </c>
      <c r="M89" s="40">
        <f t="shared" si="8"/>
        <v>0.37111111111111111</v>
      </c>
    </row>
    <row r="90" spans="1:13" x14ac:dyDescent="0.25">
      <c r="A90" s="9" t="s">
        <v>282</v>
      </c>
      <c r="B90" s="9" t="s">
        <v>283</v>
      </c>
      <c r="C90" s="9" t="s">
        <v>279</v>
      </c>
      <c r="D90" s="9">
        <v>24</v>
      </c>
      <c r="E90" s="37">
        <f>Daily_Plan!B28</f>
        <v>46319</v>
      </c>
      <c r="F90" s="23">
        <f t="shared" si="5"/>
        <v>334</v>
      </c>
      <c r="G90" s="38">
        <f>Crude_Receipts!E28</f>
        <v>0</v>
      </c>
      <c r="H90" s="38">
        <f>Daily_Plan!F28</f>
        <v>40</v>
      </c>
      <c r="I90" s="39">
        <f t="shared" si="6"/>
        <v>294</v>
      </c>
      <c r="J90" s="38">
        <f>Tank_Master!$E$6</f>
        <v>90</v>
      </c>
      <c r="K90" s="38">
        <f>Tank_Master!$D$6</f>
        <v>900</v>
      </c>
      <c r="L90" s="9" t="str">
        <f t="shared" si="7"/>
        <v>OK</v>
      </c>
      <c r="M90" s="40">
        <f t="shared" si="8"/>
        <v>0.32666666666666666</v>
      </c>
    </row>
    <row r="91" spans="1:13" x14ac:dyDescent="0.25">
      <c r="A91" s="9" t="s">
        <v>282</v>
      </c>
      <c r="B91" s="9" t="s">
        <v>283</v>
      </c>
      <c r="C91" s="9" t="s">
        <v>279</v>
      </c>
      <c r="D91" s="9">
        <v>25</v>
      </c>
      <c r="E91" s="37">
        <f>Daily_Plan!B29</f>
        <v>46320</v>
      </c>
      <c r="F91" s="23">
        <f t="shared" si="5"/>
        <v>294</v>
      </c>
      <c r="G91" s="38">
        <f>Crude_Receipts!E29</f>
        <v>0</v>
      </c>
      <c r="H91" s="38">
        <f>Daily_Plan!F29</f>
        <v>40</v>
      </c>
      <c r="I91" s="39">
        <f t="shared" si="6"/>
        <v>254</v>
      </c>
      <c r="J91" s="38">
        <f>Tank_Master!$E$6</f>
        <v>90</v>
      </c>
      <c r="K91" s="38">
        <f>Tank_Master!$D$6</f>
        <v>900</v>
      </c>
      <c r="L91" s="9" t="str">
        <f t="shared" si="7"/>
        <v>OK</v>
      </c>
      <c r="M91" s="40">
        <f t="shared" si="8"/>
        <v>0.28222222222222221</v>
      </c>
    </row>
    <row r="92" spans="1:13" x14ac:dyDescent="0.25">
      <c r="A92" s="9" t="s">
        <v>282</v>
      </c>
      <c r="B92" s="9" t="s">
        <v>283</v>
      </c>
      <c r="C92" s="9" t="s">
        <v>279</v>
      </c>
      <c r="D92" s="9">
        <v>26</v>
      </c>
      <c r="E92" s="37">
        <f>Daily_Plan!B30</f>
        <v>46321</v>
      </c>
      <c r="F92" s="23">
        <f t="shared" si="5"/>
        <v>254</v>
      </c>
      <c r="G92" s="38">
        <f>Crude_Receipts!E30</f>
        <v>400</v>
      </c>
      <c r="H92" s="38">
        <f>Daily_Plan!F30</f>
        <v>40</v>
      </c>
      <c r="I92" s="39">
        <f t="shared" si="6"/>
        <v>614</v>
      </c>
      <c r="J92" s="38">
        <f>Tank_Master!$E$6</f>
        <v>90</v>
      </c>
      <c r="K92" s="38">
        <f>Tank_Master!$D$6</f>
        <v>900</v>
      </c>
      <c r="L92" s="9" t="str">
        <f t="shared" si="7"/>
        <v>OK</v>
      </c>
      <c r="M92" s="40">
        <f t="shared" si="8"/>
        <v>0.68222222222222217</v>
      </c>
    </row>
    <row r="93" spans="1:13" x14ac:dyDescent="0.25">
      <c r="A93" s="9" t="s">
        <v>282</v>
      </c>
      <c r="B93" s="9" t="s">
        <v>283</v>
      </c>
      <c r="C93" s="9" t="s">
        <v>279</v>
      </c>
      <c r="D93" s="9">
        <v>27</v>
      </c>
      <c r="E93" s="37">
        <f>Daily_Plan!B31</f>
        <v>46322</v>
      </c>
      <c r="F93" s="23">
        <f t="shared" si="5"/>
        <v>614</v>
      </c>
      <c r="G93" s="38">
        <f>Crude_Receipts!E31</f>
        <v>0</v>
      </c>
      <c r="H93" s="38">
        <f>Daily_Plan!F31</f>
        <v>40</v>
      </c>
      <c r="I93" s="39">
        <f t="shared" si="6"/>
        <v>574</v>
      </c>
      <c r="J93" s="38">
        <f>Tank_Master!$E$6</f>
        <v>90</v>
      </c>
      <c r="K93" s="38">
        <f>Tank_Master!$D$6</f>
        <v>900</v>
      </c>
      <c r="L93" s="9" t="str">
        <f t="shared" si="7"/>
        <v>OK</v>
      </c>
      <c r="M93" s="40">
        <f t="shared" si="8"/>
        <v>0.63777777777777778</v>
      </c>
    </row>
    <row r="94" spans="1:13" x14ac:dyDescent="0.25">
      <c r="A94" s="9" t="s">
        <v>282</v>
      </c>
      <c r="B94" s="9" t="s">
        <v>283</v>
      </c>
      <c r="C94" s="9" t="s">
        <v>279</v>
      </c>
      <c r="D94" s="9">
        <v>28</v>
      </c>
      <c r="E94" s="37">
        <f>Daily_Plan!B32</f>
        <v>46323</v>
      </c>
      <c r="F94" s="23">
        <f t="shared" si="5"/>
        <v>574</v>
      </c>
      <c r="G94" s="38">
        <f>Crude_Receipts!E32</f>
        <v>0</v>
      </c>
      <c r="H94" s="38">
        <f>Daily_Plan!F32</f>
        <v>40</v>
      </c>
      <c r="I94" s="39">
        <f t="shared" si="6"/>
        <v>534</v>
      </c>
      <c r="J94" s="38">
        <f>Tank_Master!$E$6</f>
        <v>90</v>
      </c>
      <c r="K94" s="38">
        <f>Tank_Master!$D$6</f>
        <v>900</v>
      </c>
      <c r="L94" s="9" t="str">
        <f t="shared" si="7"/>
        <v>OK</v>
      </c>
      <c r="M94" s="40">
        <f t="shared" si="8"/>
        <v>0.59333333333333338</v>
      </c>
    </row>
    <row r="95" spans="1:13" x14ac:dyDescent="0.25">
      <c r="A95" s="9" t="s">
        <v>282</v>
      </c>
      <c r="B95" s="9" t="s">
        <v>283</v>
      </c>
      <c r="C95" s="9" t="s">
        <v>279</v>
      </c>
      <c r="D95" s="9">
        <v>29</v>
      </c>
      <c r="E95" s="37">
        <f>Daily_Plan!B33</f>
        <v>46324</v>
      </c>
      <c r="F95" s="23">
        <f t="shared" si="5"/>
        <v>534</v>
      </c>
      <c r="G95" s="38">
        <f>Crude_Receipts!E33</f>
        <v>0</v>
      </c>
      <c r="H95" s="38">
        <f>Daily_Plan!F33</f>
        <v>40</v>
      </c>
      <c r="I95" s="39">
        <f t="shared" si="6"/>
        <v>494</v>
      </c>
      <c r="J95" s="38">
        <f>Tank_Master!$E$6</f>
        <v>90</v>
      </c>
      <c r="K95" s="38">
        <f>Tank_Master!$D$6</f>
        <v>900</v>
      </c>
      <c r="L95" s="9" t="str">
        <f t="shared" si="7"/>
        <v>OK</v>
      </c>
      <c r="M95" s="40">
        <f t="shared" si="8"/>
        <v>0.54888888888888887</v>
      </c>
    </row>
    <row r="96" spans="1:13" x14ac:dyDescent="0.25">
      <c r="A96" s="9" t="s">
        <v>282</v>
      </c>
      <c r="B96" s="9" t="s">
        <v>283</v>
      </c>
      <c r="C96" s="9" t="s">
        <v>279</v>
      </c>
      <c r="D96" s="9">
        <v>30</v>
      </c>
      <c r="E96" s="37">
        <f>Daily_Plan!B34</f>
        <v>46325</v>
      </c>
      <c r="F96" s="23">
        <f t="shared" si="5"/>
        <v>494</v>
      </c>
      <c r="G96" s="38">
        <f>Crude_Receipts!E34</f>
        <v>0</v>
      </c>
      <c r="H96" s="38">
        <f>Daily_Plan!F34</f>
        <v>40</v>
      </c>
      <c r="I96" s="39">
        <f t="shared" si="6"/>
        <v>454</v>
      </c>
      <c r="J96" s="38">
        <f>Tank_Master!$E$6</f>
        <v>90</v>
      </c>
      <c r="K96" s="38">
        <f>Tank_Master!$D$6</f>
        <v>900</v>
      </c>
      <c r="L96" s="9" t="str">
        <f t="shared" si="7"/>
        <v>OK</v>
      </c>
      <c r="M96" s="40">
        <f t="shared" si="8"/>
        <v>0.50444444444444447</v>
      </c>
    </row>
    <row r="97" spans="1:13" x14ac:dyDescent="0.25">
      <c r="A97" s="9" t="s">
        <v>282</v>
      </c>
      <c r="B97" s="9" t="s">
        <v>283</v>
      </c>
      <c r="C97" s="9" t="s">
        <v>279</v>
      </c>
      <c r="D97" s="9">
        <v>31</v>
      </c>
      <c r="E97" s="37">
        <f>Daily_Plan!B35</f>
        <v>46326</v>
      </c>
      <c r="F97" s="23">
        <f t="shared" si="5"/>
        <v>454</v>
      </c>
      <c r="G97" s="38">
        <f>Crude_Receipts!E35</f>
        <v>0</v>
      </c>
      <c r="H97" s="38">
        <f>Daily_Plan!F35</f>
        <v>40</v>
      </c>
      <c r="I97" s="39">
        <f t="shared" si="6"/>
        <v>414</v>
      </c>
      <c r="J97" s="38">
        <f>Tank_Master!$E$6</f>
        <v>90</v>
      </c>
      <c r="K97" s="38">
        <f>Tank_Master!$D$6</f>
        <v>900</v>
      </c>
      <c r="L97" s="9" t="str">
        <f t="shared" si="7"/>
        <v>OK</v>
      </c>
      <c r="M97" s="40">
        <f t="shared" si="8"/>
        <v>0.46</v>
      </c>
    </row>
    <row r="98" spans="1:13" x14ac:dyDescent="0.25">
      <c r="A98" s="9" t="s">
        <v>284</v>
      </c>
      <c r="B98" s="9" t="s">
        <v>285</v>
      </c>
      <c r="C98" s="9" t="s">
        <v>279</v>
      </c>
      <c r="D98" s="9">
        <v>1</v>
      </c>
      <c r="E98" s="37">
        <f>Daily_Plan!B5</f>
        <v>46296</v>
      </c>
      <c r="F98" s="38">
        <f>Tank_Master!$F$7</f>
        <v>380</v>
      </c>
      <c r="G98" s="38">
        <f>Crude_Receipts!F5</f>
        <v>0</v>
      </c>
      <c r="H98" s="38">
        <f>Daily_Plan!G5</f>
        <v>30</v>
      </c>
      <c r="I98" s="39">
        <f t="shared" si="6"/>
        <v>350</v>
      </c>
      <c r="J98" s="38">
        <f>Tank_Master!$E$7</f>
        <v>80</v>
      </c>
      <c r="K98" s="38">
        <f>Tank_Master!$D$7</f>
        <v>800</v>
      </c>
      <c r="L98" s="9" t="str">
        <f t="shared" si="7"/>
        <v>OK</v>
      </c>
      <c r="M98" s="40">
        <f t="shared" si="8"/>
        <v>0.4375</v>
      </c>
    </row>
    <row r="99" spans="1:13" x14ac:dyDescent="0.25">
      <c r="A99" s="9" t="s">
        <v>284</v>
      </c>
      <c r="B99" s="9" t="s">
        <v>285</v>
      </c>
      <c r="C99" s="9" t="s">
        <v>279</v>
      </c>
      <c r="D99" s="9">
        <v>2</v>
      </c>
      <c r="E99" s="37">
        <f>Daily_Plan!B6</f>
        <v>46297</v>
      </c>
      <c r="F99" s="23">
        <f t="shared" ref="F99:F128" si="9">I98</f>
        <v>350</v>
      </c>
      <c r="G99" s="38">
        <f>Crude_Receipts!F6</f>
        <v>0</v>
      </c>
      <c r="H99" s="38">
        <f>Daily_Plan!G6</f>
        <v>30</v>
      </c>
      <c r="I99" s="39">
        <f t="shared" si="6"/>
        <v>320</v>
      </c>
      <c r="J99" s="38">
        <f>Tank_Master!$E$7</f>
        <v>80</v>
      </c>
      <c r="K99" s="38">
        <f>Tank_Master!$D$7</f>
        <v>800</v>
      </c>
      <c r="L99" s="9" t="str">
        <f t="shared" si="7"/>
        <v>OK</v>
      </c>
      <c r="M99" s="40">
        <f t="shared" si="8"/>
        <v>0.4</v>
      </c>
    </row>
    <row r="100" spans="1:13" x14ac:dyDescent="0.25">
      <c r="A100" s="9" t="s">
        <v>284</v>
      </c>
      <c r="B100" s="9" t="s">
        <v>285</v>
      </c>
      <c r="C100" s="9" t="s">
        <v>279</v>
      </c>
      <c r="D100" s="9">
        <v>3</v>
      </c>
      <c r="E100" s="37">
        <f>Daily_Plan!B7</f>
        <v>46298</v>
      </c>
      <c r="F100" s="23">
        <f t="shared" si="9"/>
        <v>320</v>
      </c>
      <c r="G100" s="38">
        <f>Crude_Receipts!F7</f>
        <v>0</v>
      </c>
      <c r="H100" s="38">
        <f>Daily_Plan!G7</f>
        <v>30</v>
      </c>
      <c r="I100" s="39">
        <f t="shared" si="6"/>
        <v>290</v>
      </c>
      <c r="J100" s="38">
        <f>Tank_Master!$E$7</f>
        <v>80</v>
      </c>
      <c r="K100" s="38">
        <f>Tank_Master!$D$7</f>
        <v>800</v>
      </c>
      <c r="L100" s="9" t="str">
        <f t="shared" si="7"/>
        <v>OK</v>
      </c>
      <c r="M100" s="40">
        <f t="shared" si="8"/>
        <v>0.36249999999999999</v>
      </c>
    </row>
    <row r="101" spans="1:13" x14ac:dyDescent="0.25">
      <c r="A101" s="9" t="s">
        <v>284</v>
      </c>
      <c r="B101" s="9" t="s">
        <v>285</v>
      </c>
      <c r="C101" s="9" t="s">
        <v>279</v>
      </c>
      <c r="D101" s="9">
        <v>4</v>
      </c>
      <c r="E101" s="37">
        <f>Daily_Plan!B8</f>
        <v>46299</v>
      </c>
      <c r="F101" s="23">
        <f t="shared" si="9"/>
        <v>290</v>
      </c>
      <c r="G101" s="38">
        <f>Crude_Receipts!F8</f>
        <v>0</v>
      </c>
      <c r="H101" s="38">
        <f>Daily_Plan!G8</f>
        <v>28</v>
      </c>
      <c r="I101" s="39">
        <f t="shared" si="6"/>
        <v>262</v>
      </c>
      <c r="J101" s="38">
        <f>Tank_Master!$E$7</f>
        <v>80</v>
      </c>
      <c r="K101" s="38">
        <f>Tank_Master!$D$7</f>
        <v>800</v>
      </c>
      <c r="L101" s="9" t="str">
        <f t="shared" si="7"/>
        <v>OK</v>
      </c>
      <c r="M101" s="40">
        <f t="shared" si="8"/>
        <v>0.32750000000000001</v>
      </c>
    </row>
    <row r="102" spans="1:13" x14ac:dyDescent="0.25">
      <c r="A102" s="9" t="s">
        <v>284</v>
      </c>
      <c r="B102" s="9" t="s">
        <v>285</v>
      </c>
      <c r="C102" s="9" t="s">
        <v>279</v>
      </c>
      <c r="D102" s="9">
        <v>5</v>
      </c>
      <c r="E102" s="37">
        <f>Daily_Plan!B9</f>
        <v>46300</v>
      </c>
      <c r="F102" s="23">
        <f t="shared" si="9"/>
        <v>262</v>
      </c>
      <c r="G102" s="38">
        <f>Crude_Receipts!F9</f>
        <v>0</v>
      </c>
      <c r="H102" s="38">
        <f>Daily_Plan!G9</f>
        <v>26</v>
      </c>
      <c r="I102" s="39">
        <f t="shared" si="6"/>
        <v>236</v>
      </c>
      <c r="J102" s="38">
        <f>Tank_Master!$E$7</f>
        <v>80</v>
      </c>
      <c r="K102" s="38">
        <f>Tank_Master!$D$7</f>
        <v>800</v>
      </c>
      <c r="L102" s="9" t="str">
        <f t="shared" si="7"/>
        <v>OK</v>
      </c>
      <c r="M102" s="40">
        <f t="shared" si="8"/>
        <v>0.29499999999999998</v>
      </c>
    </row>
    <row r="103" spans="1:13" x14ac:dyDescent="0.25">
      <c r="A103" s="9" t="s">
        <v>284</v>
      </c>
      <c r="B103" s="9" t="s">
        <v>285</v>
      </c>
      <c r="C103" s="9" t="s">
        <v>279</v>
      </c>
      <c r="D103" s="9">
        <v>6</v>
      </c>
      <c r="E103" s="37">
        <f>Daily_Plan!B10</f>
        <v>46301</v>
      </c>
      <c r="F103" s="23">
        <f t="shared" si="9"/>
        <v>236</v>
      </c>
      <c r="G103" s="38">
        <f>Crude_Receipts!F10</f>
        <v>0</v>
      </c>
      <c r="H103" s="38">
        <f>Daily_Plan!G10</f>
        <v>28</v>
      </c>
      <c r="I103" s="39">
        <f t="shared" si="6"/>
        <v>208</v>
      </c>
      <c r="J103" s="38">
        <f>Tank_Master!$E$7</f>
        <v>80</v>
      </c>
      <c r="K103" s="38">
        <f>Tank_Master!$D$7</f>
        <v>800</v>
      </c>
      <c r="L103" s="9" t="str">
        <f t="shared" si="7"/>
        <v>OK</v>
      </c>
      <c r="M103" s="40">
        <f t="shared" si="8"/>
        <v>0.26</v>
      </c>
    </row>
    <row r="104" spans="1:13" x14ac:dyDescent="0.25">
      <c r="A104" s="9" t="s">
        <v>284</v>
      </c>
      <c r="B104" s="9" t="s">
        <v>285</v>
      </c>
      <c r="C104" s="9" t="s">
        <v>279</v>
      </c>
      <c r="D104" s="9">
        <v>7</v>
      </c>
      <c r="E104" s="37">
        <f>Daily_Plan!B11</f>
        <v>46302</v>
      </c>
      <c r="F104" s="23">
        <f t="shared" si="9"/>
        <v>208</v>
      </c>
      <c r="G104" s="38">
        <f>Crude_Receipts!F11</f>
        <v>0</v>
      </c>
      <c r="H104" s="38">
        <f>Daily_Plan!G11</f>
        <v>30</v>
      </c>
      <c r="I104" s="39">
        <f t="shared" si="6"/>
        <v>178</v>
      </c>
      <c r="J104" s="38">
        <f>Tank_Master!$E$7</f>
        <v>80</v>
      </c>
      <c r="K104" s="38">
        <f>Tank_Master!$D$7</f>
        <v>800</v>
      </c>
      <c r="L104" s="9" t="str">
        <f t="shared" si="7"/>
        <v>OK</v>
      </c>
      <c r="M104" s="40">
        <f t="shared" si="8"/>
        <v>0.2225</v>
      </c>
    </row>
    <row r="105" spans="1:13" x14ac:dyDescent="0.25">
      <c r="A105" s="9" t="s">
        <v>284</v>
      </c>
      <c r="B105" s="9" t="s">
        <v>285</v>
      </c>
      <c r="C105" s="9" t="s">
        <v>279</v>
      </c>
      <c r="D105" s="9">
        <v>8</v>
      </c>
      <c r="E105" s="37">
        <f>Daily_Plan!B12</f>
        <v>46303</v>
      </c>
      <c r="F105" s="23">
        <f t="shared" si="9"/>
        <v>178</v>
      </c>
      <c r="G105" s="38">
        <f>Crude_Receipts!F12</f>
        <v>0</v>
      </c>
      <c r="H105" s="38">
        <f>Daily_Plan!G12</f>
        <v>30</v>
      </c>
      <c r="I105" s="39">
        <f t="shared" si="6"/>
        <v>148</v>
      </c>
      <c r="J105" s="38">
        <f>Tank_Master!$E$7</f>
        <v>80</v>
      </c>
      <c r="K105" s="38">
        <f>Tank_Master!$D$7</f>
        <v>800</v>
      </c>
      <c r="L105" s="9" t="str">
        <f t="shared" si="7"/>
        <v>OK</v>
      </c>
      <c r="M105" s="40">
        <f t="shared" si="8"/>
        <v>0.185</v>
      </c>
    </row>
    <row r="106" spans="1:13" x14ac:dyDescent="0.25">
      <c r="A106" s="9" t="s">
        <v>284</v>
      </c>
      <c r="B106" s="9" t="s">
        <v>285</v>
      </c>
      <c r="C106" s="9" t="s">
        <v>279</v>
      </c>
      <c r="D106" s="9">
        <v>9</v>
      </c>
      <c r="E106" s="37">
        <f>Daily_Plan!B13</f>
        <v>46304</v>
      </c>
      <c r="F106" s="23">
        <f t="shared" si="9"/>
        <v>148</v>
      </c>
      <c r="G106" s="38">
        <f>Crude_Receipts!F13</f>
        <v>0</v>
      </c>
      <c r="H106" s="38">
        <f>Daily_Plan!G13</f>
        <v>29</v>
      </c>
      <c r="I106" s="39">
        <f t="shared" si="6"/>
        <v>119</v>
      </c>
      <c r="J106" s="38">
        <f>Tank_Master!$E$7</f>
        <v>80</v>
      </c>
      <c r="K106" s="38">
        <f>Tank_Master!$D$7</f>
        <v>800</v>
      </c>
      <c r="L106" s="9" t="str">
        <f t="shared" si="7"/>
        <v>OK</v>
      </c>
      <c r="M106" s="40">
        <f t="shared" si="8"/>
        <v>0.14874999999999999</v>
      </c>
    </row>
    <row r="107" spans="1:13" x14ac:dyDescent="0.25">
      <c r="A107" s="9" t="s">
        <v>284</v>
      </c>
      <c r="B107" s="9" t="s">
        <v>285</v>
      </c>
      <c r="C107" s="9" t="s">
        <v>279</v>
      </c>
      <c r="D107" s="9">
        <v>10</v>
      </c>
      <c r="E107" s="37">
        <f>Daily_Plan!B14</f>
        <v>46305</v>
      </c>
      <c r="F107" s="23">
        <f t="shared" si="9"/>
        <v>119</v>
      </c>
      <c r="G107" s="38">
        <f>Crude_Receipts!F14</f>
        <v>350</v>
      </c>
      <c r="H107" s="38">
        <f>Daily_Plan!G14</f>
        <v>30</v>
      </c>
      <c r="I107" s="39">
        <f t="shared" si="6"/>
        <v>439</v>
      </c>
      <c r="J107" s="38">
        <f>Tank_Master!$E$7</f>
        <v>80</v>
      </c>
      <c r="K107" s="38">
        <f>Tank_Master!$D$7</f>
        <v>800</v>
      </c>
      <c r="L107" s="9" t="str">
        <f t="shared" si="7"/>
        <v>OK</v>
      </c>
      <c r="M107" s="40">
        <f t="shared" si="8"/>
        <v>0.54874999999999996</v>
      </c>
    </row>
    <row r="108" spans="1:13" x14ac:dyDescent="0.25">
      <c r="A108" s="9" t="s">
        <v>284</v>
      </c>
      <c r="B108" s="9" t="s">
        <v>285</v>
      </c>
      <c r="C108" s="9" t="s">
        <v>279</v>
      </c>
      <c r="D108" s="9">
        <v>11</v>
      </c>
      <c r="E108" s="37">
        <f>Daily_Plan!B15</f>
        <v>46306</v>
      </c>
      <c r="F108" s="23">
        <f t="shared" si="9"/>
        <v>439</v>
      </c>
      <c r="G108" s="38">
        <f>Crude_Receipts!F15</f>
        <v>0</v>
      </c>
      <c r="H108" s="38">
        <f>Daily_Plan!G15</f>
        <v>30</v>
      </c>
      <c r="I108" s="39">
        <f t="shared" si="6"/>
        <v>409</v>
      </c>
      <c r="J108" s="38">
        <f>Tank_Master!$E$7</f>
        <v>80</v>
      </c>
      <c r="K108" s="38">
        <f>Tank_Master!$D$7</f>
        <v>800</v>
      </c>
      <c r="L108" s="9" t="str">
        <f t="shared" si="7"/>
        <v>OK</v>
      </c>
      <c r="M108" s="40">
        <f t="shared" si="8"/>
        <v>0.51124999999999998</v>
      </c>
    </row>
    <row r="109" spans="1:13" x14ac:dyDescent="0.25">
      <c r="A109" s="9" t="s">
        <v>284</v>
      </c>
      <c r="B109" s="9" t="s">
        <v>285</v>
      </c>
      <c r="C109" s="9" t="s">
        <v>279</v>
      </c>
      <c r="D109" s="9">
        <v>12</v>
      </c>
      <c r="E109" s="37">
        <f>Daily_Plan!B16</f>
        <v>46307</v>
      </c>
      <c r="F109" s="23">
        <f t="shared" si="9"/>
        <v>409</v>
      </c>
      <c r="G109" s="38">
        <f>Crude_Receipts!F16</f>
        <v>0</v>
      </c>
      <c r="H109" s="38">
        <f>Daily_Plan!G16</f>
        <v>30</v>
      </c>
      <c r="I109" s="39">
        <f t="shared" si="6"/>
        <v>379</v>
      </c>
      <c r="J109" s="38">
        <f>Tank_Master!$E$7</f>
        <v>80</v>
      </c>
      <c r="K109" s="38">
        <f>Tank_Master!$D$7</f>
        <v>800</v>
      </c>
      <c r="L109" s="9" t="str">
        <f t="shared" si="7"/>
        <v>OK</v>
      </c>
      <c r="M109" s="40">
        <f t="shared" si="8"/>
        <v>0.47375</v>
      </c>
    </row>
    <row r="110" spans="1:13" x14ac:dyDescent="0.25">
      <c r="A110" s="9" t="s">
        <v>284</v>
      </c>
      <c r="B110" s="9" t="s">
        <v>285</v>
      </c>
      <c r="C110" s="9" t="s">
        <v>279</v>
      </c>
      <c r="D110" s="9">
        <v>13</v>
      </c>
      <c r="E110" s="37">
        <f>Daily_Plan!B17</f>
        <v>46308</v>
      </c>
      <c r="F110" s="23">
        <f t="shared" si="9"/>
        <v>379</v>
      </c>
      <c r="G110" s="38">
        <f>Crude_Receipts!F17</f>
        <v>0</v>
      </c>
      <c r="H110" s="38">
        <f>Daily_Plan!G17</f>
        <v>30</v>
      </c>
      <c r="I110" s="39">
        <f t="shared" si="6"/>
        <v>349</v>
      </c>
      <c r="J110" s="38">
        <f>Tank_Master!$E$7</f>
        <v>80</v>
      </c>
      <c r="K110" s="38">
        <f>Tank_Master!$D$7</f>
        <v>800</v>
      </c>
      <c r="L110" s="9" t="str">
        <f t="shared" si="7"/>
        <v>OK</v>
      </c>
      <c r="M110" s="40">
        <f t="shared" si="8"/>
        <v>0.43625000000000003</v>
      </c>
    </row>
    <row r="111" spans="1:13" x14ac:dyDescent="0.25">
      <c r="A111" s="9" t="s">
        <v>284</v>
      </c>
      <c r="B111" s="9" t="s">
        <v>285</v>
      </c>
      <c r="C111" s="9" t="s">
        <v>279</v>
      </c>
      <c r="D111" s="9">
        <v>14</v>
      </c>
      <c r="E111" s="37">
        <f>Daily_Plan!B18</f>
        <v>46309</v>
      </c>
      <c r="F111" s="23">
        <f t="shared" si="9"/>
        <v>349</v>
      </c>
      <c r="G111" s="38">
        <f>Crude_Receipts!F18</f>
        <v>0</v>
      </c>
      <c r="H111" s="38">
        <f>Daily_Plan!G18</f>
        <v>30</v>
      </c>
      <c r="I111" s="39">
        <f t="shared" si="6"/>
        <v>319</v>
      </c>
      <c r="J111" s="38">
        <f>Tank_Master!$E$7</f>
        <v>80</v>
      </c>
      <c r="K111" s="38">
        <f>Tank_Master!$D$7</f>
        <v>800</v>
      </c>
      <c r="L111" s="9" t="str">
        <f t="shared" si="7"/>
        <v>OK</v>
      </c>
      <c r="M111" s="40">
        <f t="shared" si="8"/>
        <v>0.39874999999999999</v>
      </c>
    </row>
    <row r="112" spans="1:13" x14ac:dyDescent="0.25">
      <c r="A112" s="9" t="s">
        <v>284</v>
      </c>
      <c r="B112" s="9" t="s">
        <v>285</v>
      </c>
      <c r="C112" s="9" t="s">
        <v>279</v>
      </c>
      <c r="D112" s="9">
        <v>15</v>
      </c>
      <c r="E112" s="37">
        <f>Daily_Plan!B19</f>
        <v>46310</v>
      </c>
      <c r="F112" s="23">
        <f t="shared" si="9"/>
        <v>319</v>
      </c>
      <c r="G112" s="38">
        <f>Crude_Receipts!F19</f>
        <v>0</v>
      </c>
      <c r="H112" s="38">
        <f>Daily_Plan!G19</f>
        <v>30</v>
      </c>
      <c r="I112" s="39">
        <f t="shared" si="6"/>
        <v>289</v>
      </c>
      <c r="J112" s="38">
        <f>Tank_Master!$E$7</f>
        <v>80</v>
      </c>
      <c r="K112" s="38">
        <f>Tank_Master!$D$7</f>
        <v>800</v>
      </c>
      <c r="L112" s="9" t="str">
        <f t="shared" si="7"/>
        <v>OK</v>
      </c>
      <c r="M112" s="40">
        <f t="shared" si="8"/>
        <v>0.36125000000000002</v>
      </c>
    </row>
    <row r="113" spans="1:13" x14ac:dyDescent="0.25">
      <c r="A113" s="9" t="s">
        <v>284</v>
      </c>
      <c r="B113" s="9" t="s">
        <v>285</v>
      </c>
      <c r="C113" s="9" t="s">
        <v>279</v>
      </c>
      <c r="D113" s="9">
        <v>16</v>
      </c>
      <c r="E113" s="37">
        <f>Daily_Plan!B20</f>
        <v>46311</v>
      </c>
      <c r="F113" s="23">
        <f t="shared" si="9"/>
        <v>289</v>
      </c>
      <c r="G113" s="38">
        <f>Crude_Receipts!F20</f>
        <v>0</v>
      </c>
      <c r="H113" s="38">
        <f>Daily_Plan!G20</f>
        <v>30</v>
      </c>
      <c r="I113" s="39">
        <f t="shared" si="6"/>
        <v>259</v>
      </c>
      <c r="J113" s="38">
        <f>Tank_Master!$E$7</f>
        <v>80</v>
      </c>
      <c r="K113" s="38">
        <f>Tank_Master!$D$7</f>
        <v>800</v>
      </c>
      <c r="L113" s="9" t="str">
        <f t="shared" si="7"/>
        <v>OK</v>
      </c>
      <c r="M113" s="40">
        <f t="shared" si="8"/>
        <v>0.32374999999999998</v>
      </c>
    </row>
    <row r="114" spans="1:13" x14ac:dyDescent="0.25">
      <c r="A114" s="9" t="s">
        <v>284</v>
      </c>
      <c r="B114" s="9" t="s">
        <v>285</v>
      </c>
      <c r="C114" s="9" t="s">
        <v>279</v>
      </c>
      <c r="D114" s="9">
        <v>17</v>
      </c>
      <c r="E114" s="37">
        <f>Daily_Plan!B21</f>
        <v>46312</v>
      </c>
      <c r="F114" s="23">
        <f t="shared" si="9"/>
        <v>259</v>
      </c>
      <c r="G114" s="38">
        <f>Crude_Receipts!F21</f>
        <v>0</v>
      </c>
      <c r="H114" s="38">
        <f>Daily_Plan!G21</f>
        <v>30</v>
      </c>
      <c r="I114" s="39">
        <f t="shared" si="6"/>
        <v>229</v>
      </c>
      <c r="J114" s="38">
        <f>Tank_Master!$E$7</f>
        <v>80</v>
      </c>
      <c r="K114" s="38">
        <f>Tank_Master!$D$7</f>
        <v>800</v>
      </c>
      <c r="L114" s="9" t="str">
        <f t="shared" si="7"/>
        <v>OK</v>
      </c>
      <c r="M114" s="40">
        <f t="shared" si="8"/>
        <v>0.28625</v>
      </c>
    </row>
    <row r="115" spans="1:13" x14ac:dyDescent="0.25">
      <c r="A115" s="9" t="s">
        <v>284</v>
      </c>
      <c r="B115" s="9" t="s">
        <v>285</v>
      </c>
      <c r="C115" s="9" t="s">
        <v>279</v>
      </c>
      <c r="D115" s="9">
        <v>18</v>
      </c>
      <c r="E115" s="37">
        <f>Daily_Plan!B22</f>
        <v>46313</v>
      </c>
      <c r="F115" s="23">
        <f t="shared" si="9"/>
        <v>229</v>
      </c>
      <c r="G115" s="38">
        <f>Crude_Receipts!F22</f>
        <v>0</v>
      </c>
      <c r="H115" s="38">
        <f>Daily_Plan!G22</f>
        <v>30</v>
      </c>
      <c r="I115" s="39">
        <f t="shared" si="6"/>
        <v>199</v>
      </c>
      <c r="J115" s="38">
        <f>Tank_Master!$E$7</f>
        <v>80</v>
      </c>
      <c r="K115" s="38">
        <f>Tank_Master!$D$7</f>
        <v>800</v>
      </c>
      <c r="L115" s="9" t="str">
        <f t="shared" si="7"/>
        <v>OK</v>
      </c>
      <c r="M115" s="40">
        <f t="shared" si="8"/>
        <v>0.24875</v>
      </c>
    </row>
    <row r="116" spans="1:13" x14ac:dyDescent="0.25">
      <c r="A116" s="9" t="s">
        <v>284</v>
      </c>
      <c r="B116" s="9" t="s">
        <v>285</v>
      </c>
      <c r="C116" s="9" t="s">
        <v>279</v>
      </c>
      <c r="D116" s="9">
        <v>19</v>
      </c>
      <c r="E116" s="37">
        <f>Daily_Plan!B23</f>
        <v>46314</v>
      </c>
      <c r="F116" s="23">
        <f t="shared" si="9"/>
        <v>199</v>
      </c>
      <c r="G116" s="38">
        <f>Crude_Receipts!F23</f>
        <v>0</v>
      </c>
      <c r="H116" s="38">
        <f>Daily_Plan!G23</f>
        <v>30</v>
      </c>
      <c r="I116" s="39">
        <f t="shared" si="6"/>
        <v>169</v>
      </c>
      <c r="J116" s="38">
        <f>Tank_Master!$E$7</f>
        <v>80</v>
      </c>
      <c r="K116" s="38">
        <f>Tank_Master!$D$7</f>
        <v>800</v>
      </c>
      <c r="L116" s="9" t="str">
        <f t="shared" si="7"/>
        <v>OK</v>
      </c>
      <c r="M116" s="40">
        <f t="shared" si="8"/>
        <v>0.21124999999999999</v>
      </c>
    </row>
    <row r="117" spans="1:13" x14ac:dyDescent="0.25">
      <c r="A117" s="9" t="s">
        <v>284</v>
      </c>
      <c r="B117" s="9" t="s">
        <v>285</v>
      </c>
      <c r="C117" s="9" t="s">
        <v>279</v>
      </c>
      <c r="D117" s="9">
        <v>20</v>
      </c>
      <c r="E117" s="37">
        <f>Daily_Plan!B24</f>
        <v>46315</v>
      </c>
      <c r="F117" s="23">
        <f t="shared" si="9"/>
        <v>169</v>
      </c>
      <c r="G117" s="38">
        <f>Crude_Receipts!F24</f>
        <v>0</v>
      </c>
      <c r="H117" s="38">
        <f>Daily_Plan!G24</f>
        <v>30</v>
      </c>
      <c r="I117" s="39">
        <f t="shared" si="6"/>
        <v>139</v>
      </c>
      <c r="J117" s="38">
        <f>Tank_Master!$E$7</f>
        <v>80</v>
      </c>
      <c r="K117" s="38">
        <f>Tank_Master!$D$7</f>
        <v>800</v>
      </c>
      <c r="L117" s="9" t="str">
        <f t="shared" si="7"/>
        <v>OK</v>
      </c>
      <c r="M117" s="40">
        <f t="shared" si="8"/>
        <v>0.17374999999999999</v>
      </c>
    </row>
    <row r="118" spans="1:13" x14ac:dyDescent="0.25">
      <c r="A118" s="9" t="s">
        <v>284</v>
      </c>
      <c r="B118" s="9" t="s">
        <v>285</v>
      </c>
      <c r="C118" s="9" t="s">
        <v>279</v>
      </c>
      <c r="D118" s="9">
        <v>21</v>
      </c>
      <c r="E118" s="37">
        <f>Daily_Plan!B25</f>
        <v>46316</v>
      </c>
      <c r="F118" s="23">
        <f t="shared" si="9"/>
        <v>139</v>
      </c>
      <c r="G118" s="38">
        <f>Crude_Receipts!F25</f>
        <v>0</v>
      </c>
      <c r="H118" s="38">
        <f>Daily_Plan!G25</f>
        <v>30</v>
      </c>
      <c r="I118" s="39">
        <f t="shared" si="6"/>
        <v>109</v>
      </c>
      <c r="J118" s="38">
        <f>Tank_Master!$E$7</f>
        <v>80</v>
      </c>
      <c r="K118" s="38">
        <f>Tank_Master!$D$7</f>
        <v>800</v>
      </c>
      <c r="L118" s="9" t="str">
        <f t="shared" si="7"/>
        <v>OK</v>
      </c>
      <c r="M118" s="40">
        <f t="shared" si="8"/>
        <v>0.13625000000000001</v>
      </c>
    </row>
    <row r="119" spans="1:13" x14ac:dyDescent="0.25">
      <c r="A119" s="9" t="s">
        <v>284</v>
      </c>
      <c r="B119" s="9" t="s">
        <v>285</v>
      </c>
      <c r="C119" s="9" t="s">
        <v>279</v>
      </c>
      <c r="D119" s="9">
        <v>22</v>
      </c>
      <c r="E119" s="37">
        <f>Daily_Plan!B26</f>
        <v>46317</v>
      </c>
      <c r="F119" s="23">
        <f t="shared" si="9"/>
        <v>109</v>
      </c>
      <c r="G119" s="38">
        <f>Crude_Receipts!F26</f>
        <v>350</v>
      </c>
      <c r="H119" s="38">
        <f>Daily_Plan!G26</f>
        <v>30</v>
      </c>
      <c r="I119" s="39">
        <f t="shared" si="6"/>
        <v>429</v>
      </c>
      <c r="J119" s="38">
        <f>Tank_Master!$E$7</f>
        <v>80</v>
      </c>
      <c r="K119" s="38">
        <f>Tank_Master!$D$7</f>
        <v>800</v>
      </c>
      <c r="L119" s="9" t="str">
        <f t="shared" si="7"/>
        <v>OK</v>
      </c>
      <c r="M119" s="40">
        <f t="shared" si="8"/>
        <v>0.53625</v>
      </c>
    </row>
    <row r="120" spans="1:13" x14ac:dyDescent="0.25">
      <c r="A120" s="9" t="s">
        <v>284</v>
      </c>
      <c r="B120" s="9" t="s">
        <v>285</v>
      </c>
      <c r="C120" s="9" t="s">
        <v>279</v>
      </c>
      <c r="D120" s="9">
        <v>23</v>
      </c>
      <c r="E120" s="37">
        <f>Daily_Plan!B27</f>
        <v>46318</v>
      </c>
      <c r="F120" s="23">
        <f t="shared" si="9"/>
        <v>429</v>
      </c>
      <c r="G120" s="38">
        <f>Crude_Receipts!F27</f>
        <v>0</v>
      </c>
      <c r="H120" s="38">
        <f>Daily_Plan!G27</f>
        <v>30</v>
      </c>
      <c r="I120" s="39">
        <f t="shared" si="6"/>
        <v>399</v>
      </c>
      <c r="J120" s="38">
        <f>Tank_Master!$E$7</f>
        <v>80</v>
      </c>
      <c r="K120" s="38">
        <f>Tank_Master!$D$7</f>
        <v>800</v>
      </c>
      <c r="L120" s="9" t="str">
        <f t="shared" si="7"/>
        <v>OK</v>
      </c>
      <c r="M120" s="40">
        <f t="shared" si="8"/>
        <v>0.49875000000000003</v>
      </c>
    </row>
    <row r="121" spans="1:13" x14ac:dyDescent="0.25">
      <c r="A121" s="9" t="s">
        <v>284</v>
      </c>
      <c r="B121" s="9" t="s">
        <v>285</v>
      </c>
      <c r="C121" s="9" t="s">
        <v>279</v>
      </c>
      <c r="D121" s="9">
        <v>24</v>
      </c>
      <c r="E121" s="37">
        <f>Daily_Plan!B28</f>
        <v>46319</v>
      </c>
      <c r="F121" s="23">
        <f t="shared" si="9"/>
        <v>399</v>
      </c>
      <c r="G121" s="38">
        <f>Crude_Receipts!F28</f>
        <v>0</v>
      </c>
      <c r="H121" s="38">
        <f>Daily_Plan!G28</f>
        <v>30</v>
      </c>
      <c r="I121" s="39">
        <f t="shared" si="6"/>
        <v>369</v>
      </c>
      <c r="J121" s="38">
        <f>Tank_Master!$E$7</f>
        <v>80</v>
      </c>
      <c r="K121" s="38">
        <f>Tank_Master!$D$7</f>
        <v>800</v>
      </c>
      <c r="L121" s="9" t="str">
        <f t="shared" si="7"/>
        <v>OK</v>
      </c>
      <c r="M121" s="40">
        <f t="shared" si="8"/>
        <v>0.46124999999999999</v>
      </c>
    </row>
    <row r="122" spans="1:13" x14ac:dyDescent="0.25">
      <c r="A122" s="9" t="s">
        <v>284</v>
      </c>
      <c r="B122" s="9" t="s">
        <v>285</v>
      </c>
      <c r="C122" s="9" t="s">
        <v>279</v>
      </c>
      <c r="D122" s="9">
        <v>25</v>
      </c>
      <c r="E122" s="37">
        <f>Daily_Plan!B29</f>
        <v>46320</v>
      </c>
      <c r="F122" s="23">
        <f t="shared" si="9"/>
        <v>369</v>
      </c>
      <c r="G122" s="38">
        <f>Crude_Receipts!F29</f>
        <v>0</v>
      </c>
      <c r="H122" s="38">
        <f>Daily_Plan!G29</f>
        <v>30</v>
      </c>
      <c r="I122" s="39">
        <f t="shared" si="6"/>
        <v>339</v>
      </c>
      <c r="J122" s="38">
        <f>Tank_Master!$E$7</f>
        <v>80</v>
      </c>
      <c r="K122" s="38">
        <f>Tank_Master!$D$7</f>
        <v>800</v>
      </c>
      <c r="L122" s="9" t="str">
        <f t="shared" si="7"/>
        <v>OK</v>
      </c>
      <c r="M122" s="40">
        <f t="shared" si="8"/>
        <v>0.42375000000000002</v>
      </c>
    </row>
    <row r="123" spans="1:13" x14ac:dyDescent="0.25">
      <c r="A123" s="9" t="s">
        <v>284</v>
      </c>
      <c r="B123" s="9" t="s">
        <v>285</v>
      </c>
      <c r="C123" s="9" t="s">
        <v>279</v>
      </c>
      <c r="D123" s="9">
        <v>26</v>
      </c>
      <c r="E123" s="37">
        <f>Daily_Plan!B30</f>
        <v>46321</v>
      </c>
      <c r="F123" s="23">
        <f t="shared" si="9"/>
        <v>339</v>
      </c>
      <c r="G123" s="38">
        <f>Crude_Receipts!F30</f>
        <v>0</v>
      </c>
      <c r="H123" s="38">
        <f>Daily_Plan!G30</f>
        <v>30</v>
      </c>
      <c r="I123" s="39">
        <f t="shared" si="6"/>
        <v>309</v>
      </c>
      <c r="J123" s="38">
        <f>Tank_Master!$E$7</f>
        <v>80</v>
      </c>
      <c r="K123" s="38">
        <f>Tank_Master!$D$7</f>
        <v>800</v>
      </c>
      <c r="L123" s="9" t="str">
        <f t="shared" si="7"/>
        <v>OK</v>
      </c>
      <c r="M123" s="40">
        <f t="shared" si="8"/>
        <v>0.38624999999999998</v>
      </c>
    </row>
    <row r="124" spans="1:13" x14ac:dyDescent="0.25">
      <c r="A124" s="9" t="s">
        <v>284</v>
      </c>
      <c r="B124" s="9" t="s">
        <v>285</v>
      </c>
      <c r="C124" s="9" t="s">
        <v>279</v>
      </c>
      <c r="D124" s="9">
        <v>27</v>
      </c>
      <c r="E124" s="37">
        <f>Daily_Plan!B31</f>
        <v>46322</v>
      </c>
      <c r="F124" s="23">
        <f t="shared" si="9"/>
        <v>309</v>
      </c>
      <c r="G124" s="38">
        <f>Crude_Receipts!F31</f>
        <v>0</v>
      </c>
      <c r="H124" s="38">
        <f>Daily_Plan!G31</f>
        <v>30</v>
      </c>
      <c r="I124" s="39">
        <f t="shared" si="6"/>
        <v>279</v>
      </c>
      <c r="J124" s="38">
        <f>Tank_Master!$E$7</f>
        <v>80</v>
      </c>
      <c r="K124" s="38">
        <f>Tank_Master!$D$7</f>
        <v>800</v>
      </c>
      <c r="L124" s="9" t="str">
        <f t="shared" si="7"/>
        <v>OK</v>
      </c>
      <c r="M124" s="40">
        <f t="shared" si="8"/>
        <v>0.34875</v>
      </c>
    </row>
    <row r="125" spans="1:13" x14ac:dyDescent="0.25">
      <c r="A125" s="9" t="s">
        <v>284</v>
      </c>
      <c r="B125" s="9" t="s">
        <v>285</v>
      </c>
      <c r="C125" s="9" t="s">
        <v>279</v>
      </c>
      <c r="D125" s="9">
        <v>28</v>
      </c>
      <c r="E125" s="37">
        <f>Daily_Plan!B32</f>
        <v>46323</v>
      </c>
      <c r="F125" s="23">
        <f t="shared" si="9"/>
        <v>279</v>
      </c>
      <c r="G125" s="38">
        <f>Crude_Receipts!F32</f>
        <v>0</v>
      </c>
      <c r="H125" s="38">
        <f>Daily_Plan!G32</f>
        <v>30</v>
      </c>
      <c r="I125" s="39">
        <f t="shared" si="6"/>
        <v>249</v>
      </c>
      <c r="J125" s="38">
        <f>Tank_Master!$E$7</f>
        <v>80</v>
      </c>
      <c r="K125" s="38">
        <f>Tank_Master!$D$7</f>
        <v>800</v>
      </c>
      <c r="L125" s="9" t="str">
        <f t="shared" si="7"/>
        <v>OK</v>
      </c>
      <c r="M125" s="40">
        <f t="shared" si="8"/>
        <v>0.31125000000000003</v>
      </c>
    </row>
    <row r="126" spans="1:13" x14ac:dyDescent="0.25">
      <c r="A126" s="9" t="s">
        <v>284</v>
      </c>
      <c r="B126" s="9" t="s">
        <v>285</v>
      </c>
      <c r="C126" s="9" t="s">
        <v>279</v>
      </c>
      <c r="D126" s="9">
        <v>29</v>
      </c>
      <c r="E126" s="37">
        <f>Daily_Plan!B33</f>
        <v>46324</v>
      </c>
      <c r="F126" s="23">
        <f t="shared" si="9"/>
        <v>249</v>
      </c>
      <c r="G126" s="38">
        <f>Crude_Receipts!F33</f>
        <v>0</v>
      </c>
      <c r="H126" s="38">
        <f>Daily_Plan!G33</f>
        <v>30</v>
      </c>
      <c r="I126" s="39">
        <f t="shared" si="6"/>
        <v>219</v>
      </c>
      <c r="J126" s="38">
        <f>Tank_Master!$E$7</f>
        <v>80</v>
      </c>
      <c r="K126" s="38">
        <f>Tank_Master!$D$7</f>
        <v>800</v>
      </c>
      <c r="L126" s="9" t="str">
        <f t="shared" si="7"/>
        <v>OK</v>
      </c>
      <c r="M126" s="40">
        <f t="shared" si="8"/>
        <v>0.27374999999999999</v>
      </c>
    </row>
    <row r="127" spans="1:13" x14ac:dyDescent="0.25">
      <c r="A127" s="9" t="s">
        <v>284</v>
      </c>
      <c r="B127" s="9" t="s">
        <v>285</v>
      </c>
      <c r="C127" s="9" t="s">
        <v>279</v>
      </c>
      <c r="D127" s="9">
        <v>30</v>
      </c>
      <c r="E127" s="37">
        <f>Daily_Plan!B34</f>
        <v>46325</v>
      </c>
      <c r="F127" s="23">
        <f t="shared" si="9"/>
        <v>219</v>
      </c>
      <c r="G127" s="38">
        <f>Crude_Receipts!F34</f>
        <v>0</v>
      </c>
      <c r="H127" s="38">
        <f>Daily_Plan!G34</f>
        <v>30</v>
      </c>
      <c r="I127" s="39">
        <f t="shared" si="6"/>
        <v>189</v>
      </c>
      <c r="J127" s="38">
        <f>Tank_Master!$E$7</f>
        <v>80</v>
      </c>
      <c r="K127" s="38">
        <f>Tank_Master!$D$7</f>
        <v>800</v>
      </c>
      <c r="L127" s="9" t="str">
        <f t="shared" si="7"/>
        <v>OK</v>
      </c>
      <c r="M127" s="40">
        <f t="shared" si="8"/>
        <v>0.23624999999999999</v>
      </c>
    </row>
    <row r="128" spans="1:13" x14ac:dyDescent="0.25">
      <c r="A128" s="9" t="s">
        <v>284</v>
      </c>
      <c r="B128" s="9" t="s">
        <v>285</v>
      </c>
      <c r="C128" s="9" t="s">
        <v>279</v>
      </c>
      <c r="D128" s="9">
        <v>31</v>
      </c>
      <c r="E128" s="37">
        <f>Daily_Plan!B35</f>
        <v>46326</v>
      </c>
      <c r="F128" s="23">
        <f t="shared" si="9"/>
        <v>189</v>
      </c>
      <c r="G128" s="38">
        <f>Crude_Receipts!F35</f>
        <v>0</v>
      </c>
      <c r="H128" s="38">
        <f>Daily_Plan!G35</f>
        <v>30</v>
      </c>
      <c r="I128" s="39">
        <f t="shared" si="6"/>
        <v>159</v>
      </c>
      <c r="J128" s="38">
        <f>Tank_Master!$E$7</f>
        <v>80</v>
      </c>
      <c r="K128" s="38">
        <f>Tank_Master!$D$7</f>
        <v>800</v>
      </c>
      <c r="L128" s="9" t="str">
        <f t="shared" si="7"/>
        <v>OK</v>
      </c>
      <c r="M128" s="40">
        <f t="shared" si="8"/>
        <v>0.19875000000000001</v>
      </c>
    </row>
    <row r="129" spans="1:13" x14ac:dyDescent="0.25">
      <c r="A129" s="9" t="s">
        <v>286</v>
      </c>
      <c r="B129" s="9" t="s">
        <v>245</v>
      </c>
      <c r="C129" s="9" t="s">
        <v>287</v>
      </c>
      <c r="D129" s="9">
        <v>1</v>
      </c>
      <c r="E129" s="37">
        <f>Daily_Plan!B5</f>
        <v>46296</v>
      </c>
      <c r="F129" s="38">
        <f>Tank_Master!$F$8</f>
        <v>30</v>
      </c>
      <c r="G129" s="38">
        <f>Daily_Plan!X5</f>
        <v>11.32</v>
      </c>
      <c r="H129" s="38">
        <f>Product_Liftings!C5</f>
        <v>9</v>
      </c>
      <c r="I129" s="39">
        <f t="shared" si="6"/>
        <v>32.32</v>
      </c>
      <c r="J129" s="38">
        <f>Tank_Master!$E$8</f>
        <v>6</v>
      </c>
      <c r="K129" s="38">
        <f>Tank_Master!$D$8</f>
        <v>60</v>
      </c>
      <c r="L129" s="9" t="str">
        <f t="shared" si="7"/>
        <v>OK</v>
      </c>
      <c r="M129" s="40">
        <f t="shared" si="8"/>
        <v>0.53866666666666663</v>
      </c>
    </row>
    <row r="130" spans="1:13" x14ac:dyDescent="0.25">
      <c r="A130" s="9" t="s">
        <v>286</v>
      </c>
      <c r="B130" s="9" t="s">
        <v>245</v>
      </c>
      <c r="C130" s="9" t="s">
        <v>287</v>
      </c>
      <c r="D130" s="9">
        <v>2</v>
      </c>
      <c r="E130" s="37">
        <f>Daily_Plan!B6</f>
        <v>46297</v>
      </c>
      <c r="F130" s="23">
        <f t="shared" ref="F130:F159" si="10">I129</f>
        <v>32.32</v>
      </c>
      <c r="G130" s="38">
        <f>Daily_Plan!X6</f>
        <v>11.32</v>
      </c>
      <c r="H130" s="38">
        <f>Product_Liftings!C6</f>
        <v>9</v>
      </c>
      <c r="I130" s="39">
        <f t="shared" si="6"/>
        <v>34.64</v>
      </c>
      <c r="J130" s="38">
        <f>Tank_Master!$E$8</f>
        <v>6</v>
      </c>
      <c r="K130" s="38">
        <f>Tank_Master!$D$8</f>
        <v>60</v>
      </c>
      <c r="L130" s="9" t="str">
        <f t="shared" si="7"/>
        <v>OK</v>
      </c>
      <c r="M130" s="40">
        <f t="shared" si="8"/>
        <v>0.57733333333333337</v>
      </c>
    </row>
    <row r="131" spans="1:13" x14ac:dyDescent="0.25">
      <c r="A131" s="9" t="s">
        <v>286</v>
      </c>
      <c r="B131" s="9" t="s">
        <v>245</v>
      </c>
      <c r="C131" s="9" t="s">
        <v>287</v>
      </c>
      <c r="D131" s="9">
        <v>3</v>
      </c>
      <c r="E131" s="37">
        <f>Daily_Plan!B7</f>
        <v>46298</v>
      </c>
      <c r="F131" s="23">
        <f t="shared" si="10"/>
        <v>34.64</v>
      </c>
      <c r="G131" s="38">
        <f>Daily_Plan!X7</f>
        <v>11.57</v>
      </c>
      <c r="H131" s="38">
        <f>Product_Liftings!C7</f>
        <v>9</v>
      </c>
      <c r="I131" s="39">
        <f t="shared" si="6"/>
        <v>37.21</v>
      </c>
      <c r="J131" s="38">
        <f>Tank_Master!$E$8</f>
        <v>6</v>
      </c>
      <c r="K131" s="38">
        <f>Tank_Master!$D$8</f>
        <v>60</v>
      </c>
      <c r="L131" s="9" t="str">
        <f t="shared" si="7"/>
        <v>OK</v>
      </c>
      <c r="M131" s="40">
        <f t="shared" si="8"/>
        <v>0.62016666666666664</v>
      </c>
    </row>
    <row r="132" spans="1:13" x14ac:dyDescent="0.25">
      <c r="A132" s="9" t="s">
        <v>286</v>
      </c>
      <c r="B132" s="9" t="s">
        <v>245</v>
      </c>
      <c r="C132" s="9" t="s">
        <v>287</v>
      </c>
      <c r="D132" s="9">
        <v>4</v>
      </c>
      <c r="E132" s="37">
        <f>Daily_Plan!B8</f>
        <v>46299</v>
      </c>
      <c r="F132" s="23">
        <f t="shared" si="10"/>
        <v>37.21</v>
      </c>
      <c r="G132" s="38">
        <f>Daily_Plan!X8</f>
        <v>10.67</v>
      </c>
      <c r="H132" s="38">
        <f>Product_Liftings!C8</f>
        <v>9</v>
      </c>
      <c r="I132" s="39">
        <f t="shared" si="6"/>
        <v>38.880000000000003</v>
      </c>
      <c r="J132" s="38">
        <f>Tank_Master!$E$8</f>
        <v>6</v>
      </c>
      <c r="K132" s="38">
        <f>Tank_Master!$D$8</f>
        <v>60</v>
      </c>
      <c r="L132" s="9" t="str">
        <f t="shared" si="7"/>
        <v>OK</v>
      </c>
      <c r="M132" s="40">
        <f t="shared" si="8"/>
        <v>0.64800000000000002</v>
      </c>
    </row>
    <row r="133" spans="1:13" x14ac:dyDescent="0.25">
      <c r="A133" s="9" t="s">
        <v>286</v>
      </c>
      <c r="B133" s="9" t="s">
        <v>245</v>
      </c>
      <c r="C133" s="9" t="s">
        <v>287</v>
      </c>
      <c r="D133" s="9">
        <v>5</v>
      </c>
      <c r="E133" s="37">
        <f>Daily_Plan!B9</f>
        <v>46300</v>
      </c>
      <c r="F133" s="23">
        <f t="shared" si="10"/>
        <v>38.880000000000003</v>
      </c>
      <c r="G133" s="38">
        <f>Daily_Plan!X9</f>
        <v>9.91</v>
      </c>
      <c r="H133" s="38">
        <f>Product_Liftings!C9</f>
        <v>9</v>
      </c>
      <c r="I133" s="39">
        <f t="shared" ref="I133:I196" si="11">F133+G133-H133</f>
        <v>39.790000000000006</v>
      </c>
      <c r="J133" s="38">
        <f>Tank_Master!$E$8</f>
        <v>6</v>
      </c>
      <c r="K133" s="38">
        <f>Tank_Master!$D$8</f>
        <v>60</v>
      </c>
      <c r="L133" s="9" t="str">
        <f t="shared" ref="L133:L196" si="12">IF(I133&lt;J133-0.001,"BELOW MIN",IF(I133&gt;K133+0.001,"ABOVE MAX","OK"))</f>
        <v>OK</v>
      </c>
      <c r="M133" s="40">
        <f t="shared" ref="M133:M196" si="13">IF(K133&gt;0,I133/K133,0)</f>
        <v>0.66316666666666679</v>
      </c>
    </row>
    <row r="134" spans="1:13" x14ac:dyDescent="0.25">
      <c r="A134" s="9" t="s">
        <v>286</v>
      </c>
      <c r="B134" s="9" t="s">
        <v>245</v>
      </c>
      <c r="C134" s="9" t="s">
        <v>287</v>
      </c>
      <c r="D134" s="9">
        <v>6</v>
      </c>
      <c r="E134" s="37">
        <f>Daily_Plan!B10</f>
        <v>46301</v>
      </c>
      <c r="F134" s="23">
        <f t="shared" si="10"/>
        <v>39.790000000000006</v>
      </c>
      <c r="G134" s="38">
        <f>Daily_Plan!X10</f>
        <v>10.52</v>
      </c>
      <c r="H134" s="38">
        <f>Product_Liftings!C10</f>
        <v>9</v>
      </c>
      <c r="I134" s="39">
        <f t="shared" si="11"/>
        <v>41.31</v>
      </c>
      <c r="J134" s="38">
        <f>Tank_Master!$E$8</f>
        <v>6</v>
      </c>
      <c r="K134" s="38">
        <f>Tank_Master!$D$8</f>
        <v>60</v>
      </c>
      <c r="L134" s="9" t="str">
        <f t="shared" si="12"/>
        <v>OK</v>
      </c>
      <c r="M134" s="40">
        <f t="shared" si="13"/>
        <v>0.6885</v>
      </c>
    </row>
    <row r="135" spans="1:13" x14ac:dyDescent="0.25">
      <c r="A135" s="9" t="s">
        <v>286</v>
      </c>
      <c r="B135" s="9" t="s">
        <v>245</v>
      </c>
      <c r="C135" s="9" t="s">
        <v>287</v>
      </c>
      <c r="D135" s="9">
        <v>7</v>
      </c>
      <c r="E135" s="37">
        <f>Daily_Plan!B11</f>
        <v>46302</v>
      </c>
      <c r="F135" s="23">
        <f t="shared" si="10"/>
        <v>41.31</v>
      </c>
      <c r="G135" s="38">
        <f>Daily_Plan!X11</f>
        <v>11.24</v>
      </c>
      <c r="H135" s="38">
        <f>Product_Liftings!C11</f>
        <v>9</v>
      </c>
      <c r="I135" s="39">
        <f t="shared" si="11"/>
        <v>43.550000000000004</v>
      </c>
      <c r="J135" s="38">
        <f>Tank_Master!$E$8</f>
        <v>6</v>
      </c>
      <c r="K135" s="38">
        <f>Tank_Master!$D$8</f>
        <v>60</v>
      </c>
      <c r="L135" s="9" t="str">
        <f t="shared" si="12"/>
        <v>OK</v>
      </c>
      <c r="M135" s="40">
        <f t="shared" si="13"/>
        <v>0.72583333333333344</v>
      </c>
    </row>
    <row r="136" spans="1:13" x14ac:dyDescent="0.25">
      <c r="A136" s="9" t="s">
        <v>286</v>
      </c>
      <c r="B136" s="9" t="s">
        <v>245</v>
      </c>
      <c r="C136" s="9" t="s">
        <v>287</v>
      </c>
      <c r="D136" s="9">
        <v>8</v>
      </c>
      <c r="E136" s="37">
        <f>Daily_Plan!B12</f>
        <v>46303</v>
      </c>
      <c r="F136" s="23">
        <f t="shared" si="10"/>
        <v>43.550000000000004</v>
      </c>
      <c r="G136" s="38">
        <f>Daily_Plan!X12</f>
        <v>11.5</v>
      </c>
      <c r="H136" s="38">
        <f>Product_Liftings!C12</f>
        <v>9</v>
      </c>
      <c r="I136" s="39">
        <f t="shared" si="11"/>
        <v>46.050000000000004</v>
      </c>
      <c r="J136" s="38">
        <f>Tank_Master!$E$8</f>
        <v>6</v>
      </c>
      <c r="K136" s="38">
        <f>Tank_Master!$D$8</f>
        <v>60</v>
      </c>
      <c r="L136" s="9" t="str">
        <f t="shared" si="12"/>
        <v>OK</v>
      </c>
      <c r="M136" s="40">
        <f t="shared" si="13"/>
        <v>0.76750000000000007</v>
      </c>
    </row>
    <row r="137" spans="1:13" x14ac:dyDescent="0.25">
      <c r="A137" s="9" t="s">
        <v>286</v>
      </c>
      <c r="B137" s="9" t="s">
        <v>245</v>
      </c>
      <c r="C137" s="9" t="s">
        <v>287</v>
      </c>
      <c r="D137" s="9">
        <v>9</v>
      </c>
      <c r="E137" s="37">
        <f>Daily_Plan!B13</f>
        <v>46304</v>
      </c>
      <c r="F137" s="23">
        <f t="shared" si="10"/>
        <v>46.050000000000004</v>
      </c>
      <c r="G137" s="38">
        <f>Daily_Plan!X13</f>
        <v>11.59</v>
      </c>
      <c r="H137" s="38">
        <f>Product_Liftings!C13</f>
        <v>9</v>
      </c>
      <c r="I137" s="39">
        <f t="shared" si="11"/>
        <v>48.64</v>
      </c>
      <c r="J137" s="38">
        <f>Tank_Master!$E$8</f>
        <v>6</v>
      </c>
      <c r="K137" s="38">
        <f>Tank_Master!$D$8</f>
        <v>60</v>
      </c>
      <c r="L137" s="9" t="str">
        <f t="shared" si="12"/>
        <v>OK</v>
      </c>
      <c r="M137" s="40">
        <f t="shared" si="13"/>
        <v>0.81066666666666665</v>
      </c>
    </row>
    <row r="138" spans="1:13" x14ac:dyDescent="0.25">
      <c r="A138" s="9" t="s">
        <v>286</v>
      </c>
      <c r="B138" s="9" t="s">
        <v>245</v>
      </c>
      <c r="C138" s="9" t="s">
        <v>287</v>
      </c>
      <c r="D138" s="9">
        <v>10</v>
      </c>
      <c r="E138" s="37">
        <f>Daily_Plan!B14</f>
        <v>46305</v>
      </c>
      <c r="F138" s="23">
        <f t="shared" si="10"/>
        <v>48.64</v>
      </c>
      <c r="G138" s="38">
        <f>Daily_Plan!X14</f>
        <v>11.32</v>
      </c>
      <c r="H138" s="38">
        <f>Product_Liftings!C14</f>
        <v>39</v>
      </c>
      <c r="I138" s="39">
        <f t="shared" si="11"/>
        <v>20.96</v>
      </c>
      <c r="J138" s="38">
        <f>Tank_Master!$E$8</f>
        <v>6</v>
      </c>
      <c r="K138" s="38">
        <f>Tank_Master!$D$8</f>
        <v>60</v>
      </c>
      <c r="L138" s="9" t="str">
        <f t="shared" si="12"/>
        <v>OK</v>
      </c>
      <c r="M138" s="40">
        <f t="shared" si="13"/>
        <v>0.34933333333333333</v>
      </c>
    </row>
    <row r="139" spans="1:13" x14ac:dyDescent="0.25">
      <c r="A139" s="9" t="s">
        <v>286</v>
      </c>
      <c r="B139" s="9" t="s">
        <v>245</v>
      </c>
      <c r="C139" s="9" t="s">
        <v>287</v>
      </c>
      <c r="D139" s="9">
        <v>11</v>
      </c>
      <c r="E139" s="37">
        <f>Daily_Plan!B15</f>
        <v>46306</v>
      </c>
      <c r="F139" s="23">
        <f t="shared" si="10"/>
        <v>20.96</v>
      </c>
      <c r="G139" s="38">
        <f>Daily_Plan!X15</f>
        <v>11.32</v>
      </c>
      <c r="H139" s="38">
        <f>Product_Liftings!C15</f>
        <v>9</v>
      </c>
      <c r="I139" s="39">
        <f t="shared" si="11"/>
        <v>23.28</v>
      </c>
      <c r="J139" s="38">
        <f>Tank_Master!$E$8</f>
        <v>6</v>
      </c>
      <c r="K139" s="38">
        <f>Tank_Master!$D$8</f>
        <v>60</v>
      </c>
      <c r="L139" s="9" t="str">
        <f t="shared" si="12"/>
        <v>OK</v>
      </c>
      <c r="M139" s="40">
        <f t="shared" si="13"/>
        <v>0.38800000000000001</v>
      </c>
    </row>
    <row r="140" spans="1:13" x14ac:dyDescent="0.25">
      <c r="A140" s="9" t="s">
        <v>286</v>
      </c>
      <c r="B140" s="9" t="s">
        <v>245</v>
      </c>
      <c r="C140" s="9" t="s">
        <v>287</v>
      </c>
      <c r="D140" s="9">
        <v>12</v>
      </c>
      <c r="E140" s="37">
        <f>Daily_Plan!B16</f>
        <v>46307</v>
      </c>
      <c r="F140" s="23">
        <f t="shared" si="10"/>
        <v>23.28</v>
      </c>
      <c r="G140" s="38">
        <f>Daily_Plan!X16</f>
        <v>11.32</v>
      </c>
      <c r="H140" s="38">
        <f>Product_Liftings!C16</f>
        <v>9</v>
      </c>
      <c r="I140" s="39">
        <f t="shared" si="11"/>
        <v>25.6</v>
      </c>
      <c r="J140" s="38">
        <f>Tank_Master!$E$8</f>
        <v>6</v>
      </c>
      <c r="K140" s="38">
        <f>Tank_Master!$D$8</f>
        <v>60</v>
      </c>
      <c r="L140" s="9" t="str">
        <f t="shared" si="12"/>
        <v>OK</v>
      </c>
      <c r="M140" s="40">
        <f t="shared" si="13"/>
        <v>0.42666666666666669</v>
      </c>
    </row>
    <row r="141" spans="1:13" x14ac:dyDescent="0.25">
      <c r="A141" s="9" t="s">
        <v>286</v>
      </c>
      <c r="B141" s="9" t="s">
        <v>245</v>
      </c>
      <c r="C141" s="9" t="s">
        <v>287</v>
      </c>
      <c r="D141" s="9">
        <v>13</v>
      </c>
      <c r="E141" s="37">
        <f>Daily_Plan!B17</f>
        <v>46308</v>
      </c>
      <c r="F141" s="23">
        <f t="shared" si="10"/>
        <v>25.6</v>
      </c>
      <c r="G141" s="38">
        <f>Daily_Plan!X17</f>
        <v>11.32</v>
      </c>
      <c r="H141" s="38">
        <f>Product_Liftings!C17</f>
        <v>9</v>
      </c>
      <c r="I141" s="39">
        <f t="shared" si="11"/>
        <v>27.92</v>
      </c>
      <c r="J141" s="38">
        <f>Tank_Master!$E$8</f>
        <v>6</v>
      </c>
      <c r="K141" s="38">
        <f>Tank_Master!$D$8</f>
        <v>60</v>
      </c>
      <c r="L141" s="9" t="str">
        <f t="shared" si="12"/>
        <v>OK</v>
      </c>
      <c r="M141" s="40">
        <f t="shared" si="13"/>
        <v>0.46533333333333338</v>
      </c>
    </row>
    <row r="142" spans="1:13" x14ac:dyDescent="0.25">
      <c r="A142" s="9" t="s">
        <v>286</v>
      </c>
      <c r="B142" s="9" t="s">
        <v>245</v>
      </c>
      <c r="C142" s="9" t="s">
        <v>287</v>
      </c>
      <c r="D142" s="9">
        <v>14</v>
      </c>
      <c r="E142" s="37">
        <f>Daily_Plan!B18</f>
        <v>46309</v>
      </c>
      <c r="F142" s="23">
        <f t="shared" si="10"/>
        <v>27.92</v>
      </c>
      <c r="G142" s="38">
        <f>Daily_Plan!X18</f>
        <v>11.32</v>
      </c>
      <c r="H142" s="38">
        <f>Product_Liftings!C18</f>
        <v>9</v>
      </c>
      <c r="I142" s="39">
        <f t="shared" si="11"/>
        <v>30.240000000000002</v>
      </c>
      <c r="J142" s="38">
        <f>Tank_Master!$E$8</f>
        <v>6</v>
      </c>
      <c r="K142" s="38">
        <f>Tank_Master!$D$8</f>
        <v>60</v>
      </c>
      <c r="L142" s="9" t="str">
        <f t="shared" si="12"/>
        <v>OK</v>
      </c>
      <c r="M142" s="40">
        <f t="shared" si="13"/>
        <v>0.504</v>
      </c>
    </row>
    <row r="143" spans="1:13" x14ac:dyDescent="0.25">
      <c r="A143" s="9" t="s">
        <v>286</v>
      </c>
      <c r="B143" s="9" t="s">
        <v>245</v>
      </c>
      <c r="C143" s="9" t="s">
        <v>287</v>
      </c>
      <c r="D143" s="9">
        <v>15</v>
      </c>
      <c r="E143" s="37">
        <f>Daily_Plan!B19</f>
        <v>46310</v>
      </c>
      <c r="F143" s="23">
        <f t="shared" si="10"/>
        <v>30.240000000000002</v>
      </c>
      <c r="G143" s="38">
        <f>Daily_Plan!X19</f>
        <v>11.32</v>
      </c>
      <c r="H143" s="38">
        <f>Product_Liftings!C19</f>
        <v>9</v>
      </c>
      <c r="I143" s="39">
        <f t="shared" si="11"/>
        <v>32.56</v>
      </c>
      <c r="J143" s="38">
        <f>Tank_Master!$E$8</f>
        <v>6</v>
      </c>
      <c r="K143" s="38">
        <f>Tank_Master!$D$8</f>
        <v>60</v>
      </c>
      <c r="L143" s="9" t="str">
        <f t="shared" si="12"/>
        <v>OK</v>
      </c>
      <c r="M143" s="40">
        <f t="shared" si="13"/>
        <v>0.54266666666666674</v>
      </c>
    </row>
    <row r="144" spans="1:13" x14ac:dyDescent="0.25">
      <c r="A144" s="9" t="s">
        <v>286</v>
      </c>
      <c r="B144" s="9" t="s">
        <v>245</v>
      </c>
      <c r="C144" s="9" t="s">
        <v>287</v>
      </c>
      <c r="D144" s="9">
        <v>16</v>
      </c>
      <c r="E144" s="37">
        <f>Daily_Plan!B20</f>
        <v>46311</v>
      </c>
      <c r="F144" s="23">
        <f t="shared" si="10"/>
        <v>32.56</v>
      </c>
      <c r="G144" s="38">
        <f>Daily_Plan!X20</f>
        <v>11.32</v>
      </c>
      <c r="H144" s="38">
        <f>Product_Liftings!C20</f>
        <v>9</v>
      </c>
      <c r="I144" s="39">
        <f t="shared" si="11"/>
        <v>34.880000000000003</v>
      </c>
      <c r="J144" s="38">
        <f>Tank_Master!$E$8</f>
        <v>6</v>
      </c>
      <c r="K144" s="38">
        <f>Tank_Master!$D$8</f>
        <v>60</v>
      </c>
      <c r="L144" s="9" t="str">
        <f t="shared" si="12"/>
        <v>OK</v>
      </c>
      <c r="M144" s="40">
        <f t="shared" si="13"/>
        <v>0.58133333333333337</v>
      </c>
    </row>
    <row r="145" spans="1:13" x14ac:dyDescent="0.25">
      <c r="A145" s="9" t="s">
        <v>286</v>
      </c>
      <c r="B145" s="9" t="s">
        <v>245</v>
      </c>
      <c r="C145" s="9" t="s">
        <v>287</v>
      </c>
      <c r="D145" s="9">
        <v>17</v>
      </c>
      <c r="E145" s="37">
        <f>Daily_Plan!B21</f>
        <v>46312</v>
      </c>
      <c r="F145" s="23">
        <f t="shared" si="10"/>
        <v>34.880000000000003</v>
      </c>
      <c r="G145" s="38">
        <f>Daily_Plan!X21</f>
        <v>11.32</v>
      </c>
      <c r="H145" s="38">
        <f>Product_Liftings!C21</f>
        <v>9</v>
      </c>
      <c r="I145" s="39">
        <f t="shared" si="11"/>
        <v>37.200000000000003</v>
      </c>
      <c r="J145" s="38">
        <f>Tank_Master!$E$8</f>
        <v>6</v>
      </c>
      <c r="K145" s="38">
        <f>Tank_Master!$D$8</f>
        <v>60</v>
      </c>
      <c r="L145" s="9" t="str">
        <f t="shared" si="12"/>
        <v>OK</v>
      </c>
      <c r="M145" s="40">
        <f t="shared" si="13"/>
        <v>0.62</v>
      </c>
    </row>
    <row r="146" spans="1:13" x14ac:dyDescent="0.25">
      <c r="A146" s="9" t="s">
        <v>286</v>
      </c>
      <c r="B146" s="9" t="s">
        <v>245</v>
      </c>
      <c r="C146" s="9" t="s">
        <v>287</v>
      </c>
      <c r="D146" s="9">
        <v>18</v>
      </c>
      <c r="E146" s="37">
        <f>Daily_Plan!B22</f>
        <v>46313</v>
      </c>
      <c r="F146" s="23">
        <f t="shared" si="10"/>
        <v>37.200000000000003</v>
      </c>
      <c r="G146" s="38">
        <f>Daily_Plan!X22</f>
        <v>11.32</v>
      </c>
      <c r="H146" s="38">
        <f>Product_Liftings!C22</f>
        <v>9</v>
      </c>
      <c r="I146" s="39">
        <f t="shared" si="11"/>
        <v>39.520000000000003</v>
      </c>
      <c r="J146" s="38">
        <f>Tank_Master!$E$8</f>
        <v>6</v>
      </c>
      <c r="K146" s="38">
        <f>Tank_Master!$D$8</f>
        <v>60</v>
      </c>
      <c r="L146" s="9" t="str">
        <f t="shared" si="12"/>
        <v>OK</v>
      </c>
      <c r="M146" s="40">
        <f t="shared" si="13"/>
        <v>0.65866666666666673</v>
      </c>
    </row>
    <row r="147" spans="1:13" x14ac:dyDescent="0.25">
      <c r="A147" s="9" t="s">
        <v>286</v>
      </c>
      <c r="B147" s="9" t="s">
        <v>245</v>
      </c>
      <c r="C147" s="9" t="s">
        <v>287</v>
      </c>
      <c r="D147" s="9">
        <v>19</v>
      </c>
      <c r="E147" s="37">
        <f>Daily_Plan!B23</f>
        <v>46314</v>
      </c>
      <c r="F147" s="23">
        <f t="shared" si="10"/>
        <v>39.520000000000003</v>
      </c>
      <c r="G147" s="38">
        <f>Daily_Plan!X23</f>
        <v>11.32</v>
      </c>
      <c r="H147" s="38">
        <f>Product_Liftings!C23</f>
        <v>9</v>
      </c>
      <c r="I147" s="39">
        <f t="shared" si="11"/>
        <v>41.84</v>
      </c>
      <c r="J147" s="38">
        <f>Tank_Master!$E$8</f>
        <v>6</v>
      </c>
      <c r="K147" s="38">
        <f>Tank_Master!$D$8</f>
        <v>60</v>
      </c>
      <c r="L147" s="9" t="str">
        <f t="shared" si="12"/>
        <v>OK</v>
      </c>
      <c r="M147" s="40">
        <f t="shared" si="13"/>
        <v>0.69733333333333336</v>
      </c>
    </row>
    <row r="148" spans="1:13" x14ac:dyDescent="0.25">
      <c r="A148" s="9" t="s">
        <v>286</v>
      </c>
      <c r="B148" s="9" t="s">
        <v>245</v>
      </c>
      <c r="C148" s="9" t="s">
        <v>287</v>
      </c>
      <c r="D148" s="9">
        <v>20</v>
      </c>
      <c r="E148" s="37">
        <f>Daily_Plan!B24</f>
        <v>46315</v>
      </c>
      <c r="F148" s="23">
        <f t="shared" si="10"/>
        <v>41.84</v>
      </c>
      <c r="G148" s="38">
        <f>Daily_Plan!X24</f>
        <v>11.32</v>
      </c>
      <c r="H148" s="38">
        <f>Product_Liftings!C24</f>
        <v>9</v>
      </c>
      <c r="I148" s="39">
        <f t="shared" si="11"/>
        <v>44.160000000000004</v>
      </c>
      <c r="J148" s="38">
        <f>Tank_Master!$E$8</f>
        <v>6</v>
      </c>
      <c r="K148" s="38">
        <f>Tank_Master!$D$8</f>
        <v>60</v>
      </c>
      <c r="L148" s="9" t="str">
        <f t="shared" si="12"/>
        <v>OK</v>
      </c>
      <c r="M148" s="40">
        <f t="shared" si="13"/>
        <v>0.7360000000000001</v>
      </c>
    </row>
    <row r="149" spans="1:13" x14ac:dyDescent="0.25">
      <c r="A149" s="9" t="s">
        <v>286</v>
      </c>
      <c r="B149" s="9" t="s">
        <v>245</v>
      </c>
      <c r="C149" s="9" t="s">
        <v>287</v>
      </c>
      <c r="D149" s="9">
        <v>21</v>
      </c>
      <c r="E149" s="37">
        <f>Daily_Plan!B25</f>
        <v>46316</v>
      </c>
      <c r="F149" s="23">
        <f t="shared" si="10"/>
        <v>44.160000000000004</v>
      </c>
      <c r="G149" s="38">
        <f>Daily_Plan!X25</f>
        <v>11.32</v>
      </c>
      <c r="H149" s="38">
        <f>Product_Liftings!C25</f>
        <v>9</v>
      </c>
      <c r="I149" s="39">
        <f t="shared" si="11"/>
        <v>46.480000000000004</v>
      </c>
      <c r="J149" s="38">
        <f>Tank_Master!$E$8</f>
        <v>6</v>
      </c>
      <c r="K149" s="38">
        <f>Tank_Master!$D$8</f>
        <v>60</v>
      </c>
      <c r="L149" s="9" t="str">
        <f t="shared" si="12"/>
        <v>OK</v>
      </c>
      <c r="M149" s="40">
        <f t="shared" si="13"/>
        <v>0.77466666666666673</v>
      </c>
    </row>
    <row r="150" spans="1:13" x14ac:dyDescent="0.25">
      <c r="A150" s="9" t="s">
        <v>286</v>
      </c>
      <c r="B150" s="9" t="s">
        <v>245</v>
      </c>
      <c r="C150" s="9" t="s">
        <v>287</v>
      </c>
      <c r="D150" s="9">
        <v>22</v>
      </c>
      <c r="E150" s="37">
        <f>Daily_Plan!B26</f>
        <v>46317</v>
      </c>
      <c r="F150" s="23">
        <f t="shared" si="10"/>
        <v>46.480000000000004</v>
      </c>
      <c r="G150" s="38">
        <f>Daily_Plan!X26</f>
        <v>11.32</v>
      </c>
      <c r="H150" s="38">
        <f>Product_Liftings!C26</f>
        <v>9</v>
      </c>
      <c r="I150" s="39">
        <f t="shared" si="11"/>
        <v>48.800000000000004</v>
      </c>
      <c r="J150" s="38">
        <f>Tank_Master!$E$8</f>
        <v>6</v>
      </c>
      <c r="K150" s="38">
        <f>Tank_Master!$D$8</f>
        <v>60</v>
      </c>
      <c r="L150" s="9" t="str">
        <f t="shared" si="12"/>
        <v>OK</v>
      </c>
      <c r="M150" s="40">
        <f t="shared" si="13"/>
        <v>0.81333333333333335</v>
      </c>
    </row>
    <row r="151" spans="1:13" x14ac:dyDescent="0.25">
      <c r="A151" s="9" t="s">
        <v>286</v>
      </c>
      <c r="B151" s="9" t="s">
        <v>245</v>
      </c>
      <c r="C151" s="9" t="s">
        <v>287</v>
      </c>
      <c r="D151" s="9">
        <v>23</v>
      </c>
      <c r="E151" s="37">
        <f>Daily_Plan!B27</f>
        <v>46318</v>
      </c>
      <c r="F151" s="23">
        <f t="shared" si="10"/>
        <v>48.800000000000004</v>
      </c>
      <c r="G151" s="38">
        <f>Daily_Plan!X27</f>
        <v>11.32</v>
      </c>
      <c r="H151" s="38">
        <f>Product_Liftings!C27</f>
        <v>9</v>
      </c>
      <c r="I151" s="39">
        <f t="shared" si="11"/>
        <v>51.120000000000005</v>
      </c>
      <c r="J151" s="38">
        <f>Tank_Master!$E$8</f>
        <v>6</v>
      </c>
      <c r="K151" s="38">
        <f>Tank_Master!$D$8</f>
        <v>60</v>
      </c>
      <c r="L151" s="9" t="str">
        <f t="shared" si="12"/>
        <v>OK</v>
      </c>
      <c r="M151" s="40">
        <f t="shared" si="13"/>
        <v>0.85200000000000009</v>
      </c>
    </row>
    <row r="152" spans="1:13" x14ac:dyDescent="0.25">
      <c r="A152" s="9" t="s">
        <v>286</v>
      </c>
      <c r="B152" s="9" t="s">
        <v>245</v>
      </c>
      <c r="C152" s="9" t="s">
        <v>287</v>
      </c>
      <c r="D152" s="9">
        <v>24</v>
      </c>
      <c r="E152" s="37">
        <f>Daily_Plan!B28</f>
        <v>46319</v>
      </c>
      <c r="F152" s="23">
        <f t="shared" si="10"/>
        <v>51.120000000000005</v>
      </c>
      <c r="G152" s="38">
        <f>Daily_Plan!X28</f>
        <v>11.32</v>
      </c>
      <c r="H152" s="38">
        <f>Product_Liftings!C28</f>
        <v>39</v>
      </c>
      <c r="I152" s="39">
        <f t="shared" si="11"/>
        <v>23.440000000000005</v>
      </c>
      <c r="J152" s="38">
        <f>Tank_Master!$E$8</f>
        <v>6</v>
      </c>
      <c r="K152" s="38">
        <f>Tank_Master!$D$8</f>
        <v>60</v>
      </c>
      <c r="L152" s="9" t="str">
        <f t="shared" si="12"/>
        <v>OK</v>
      </c>
      <c r="M152" s="40">
        <f t="shared" si="13"/>
        <v>0.39066666666666677</v>
      </c>
    </row>
    <row r="153" spans="1:13" x14ac:dyDescent="0.25">
      <c r="A153" s="9" t="s">
        <v>286</v>
      </c>
      <c r="B153" s="9" t="s">
        <v>245</v>
      </c>
      <c r="C153" s="9" t="s">
        <v>287</v>
      </c>
      <c r="D153" s="9">
        <v>25</v>
      </c>
      <c r="E153" s="37">
        <f>Daily_Plan!B29</f>
        <v>46320</v>
      </c>
      <c r="F153" s="23">
        <f t="shared" si="10"/>
        <v>23.440000000000005</v>
      </c>
      <c r="G153" s="38">
        <f>Daily_Plan!X29</f>
        <v>11.32</v>
      </c>
      <c r="H153" s="38">
        <f>Product_Liftings!C29</f>
        <v>9</v>
      </c>
      <c r="I153" s="39">
        <f t="shared" si="11"/>
        <v>25.760000000000005</v>
      </c>
      <c r="J153" s="38">
        <f>Tank_Master!$E$8</f>
        <v>6</v>
      </c>
      <c r="K153" s="38">
        <f>Tank_Master!$D$8</f>
        <v>60</v>
      </c>
      <c r="L153" s="9" t="str">
        <f t="shared" si="12"/>
        <v>OK</v>
      </c>
      <c r="M153" s="40">
        <f t="shared" si="13"/>
        <v>0.4293333333333334</v>
      </c>
    </row>
    <row r="154" spans="1:13" x14ac:dyDescent="0.25">
      <c r="A154" s="9" t="s">
        <v>286</v>
      </c>
      <c r="B154" s="9" t="s">
        <v>245</v>
      </c>
      <c r="C154" s="9" t="s">
        <v>287</v>
      </c>
      <c r="D154" s="9">
        <v>26</v>
      </c>
      <c r="E154" s="37">
        <f>Daily_Plan!B30</f>
        <v>46321</v>
      </c>
      <c r="F154" s="23">
        <f t="shared" si="10"/>
        <v>25.760000000000005</v>
      </c>
      <c r="G154" s="38">
        <f>Daily_Plan!X30</f>
        <v>11.32</v>
      </c>
      <c r="H154" s="38">
        <f>Product_Liftings!C30</f>
        <v>9</v>
      </c>
      <c r="I154" s="39">
        <f t="shared" si="11"/>
        <v>28.080000000000005</v>
      </c>
      <c r="J154" s="38">
        <f>Tank_Master!$E$8</f>
        <v>6</v>
      </c>
      <c r="K154" s="38">
        <f>Tank_Master!$D$8</f>
        <v>60</v>
      </c>
      <c r="L154" s="9" t="str">
        <f t="shared" si="12"/>
        <v>OK</v>
      </c>
      <c r="M154" s="40">
        <f t="shared" si="13"/>
        <v>0.46800000000000008</v>
      </c>
    </row>
    <row r="155" spans="1:13" x14ac:dyDescent="0.25">
      <c r="A155" s="9" t="s">
        <v>286</v>
      </c>
      <c r="B155" s="9" t="s">
        <v>245</v>
      </c>
      <c r="C155" s="9" t="s">
        <v>287</v>
      </c>
      <c r="D155" s="9">
        <v>27</v>
      </c>
      <c r="E155" s="37">
        <f>Daily_Plan!B31</f>
        <v>46322</v>
      </c>
      <c r="F155" s="23">
        <f t="shared" si="10"/>
        <v>28.080000000000005</v>
      </c>
      <c r="G155" s="38">
        <f>Daily_Plan!X31</f>
        <v>11.32</v>
      </c>
      <c r="H155" s="38">
        <f>Product_Liftings!C31</f>
        <v>9</v>
      </c>
      <c r="I155" s="39">
        <f t="shared" si="11"/>
        <v>30.400000000000006</v>
      </c>
      <c r="J155" s="38">
        <f>Tank_Master!$E$8</f>
        <v>6</v>
      </c>
      <c r="K155" s="38">
        <f>Tank_Master!$D$8</f>
        <v>60</v>
      </c>
      <c r="L155" s="9" t="str">
        <f t="shared" si="12"/>
        <v>OK</v>
      </c>
      <c r="M155" s="40">
        <f t="shared" si="13"/>
        <v>0.50666666666666671</v>
      </c>
    </row>
    <row r="156" spans="1:13" x14ac:dyDescent="0.25">
      <c r="A156" s="9" t="s">
        <v>286</v>
      </c>
      <c r="B156" s="9" t="s">
        <v>245</v>
      </c>
      <c r="C156" s="9" t="s">
        <v>287</v>
      </c>
      <c r="D156" s="9">
        <v>28</v>
      </c>
      <c r="E156" s="37">
        <f>Daily_Plan!B32</f>
        <v>46323</v>
      </c>
      <c r="F156" s="23">
        <f t="shared" si="10"/>
        <v>30.400000000000006</v>
      </c>
      <c r="G156" s="38">
        <f>Daily_Plan!X32</f>
        <v>11.32</v>
      </c>
      <c r="H156" s="38">
        <f>Product_Liftings!C32</f>
        <v>9</v>
      </c>
      <c r="I156" s="39">
        <f t="shared" si="11"/>
        <v>32.720000000000006</v>
      </c>
      <c r="J156" s="38">
        <f>Tank_Master!$E$8</f>
        <v>6</v>
      </c>
      <c r="K156" s="38">
        <f>Tank_Master!$D$8</f>
        <v>60</v>
      </c>
      <c r="L156" s="9" t="str">
        <f t="shared" si="12"/>
        <v>OK</v>
      </c>
      <c r="M156" s="40">
        <f t="shared" si="13"/>
        <v>0.54533333333333345</v>
      </c>
    </row>
    <row r="157" spans="1:13" x14ac:dyDescent="0.25">
      <c r="A157" s="9" t="s">
        <v>286</v>
      </c>
      <c r="B157" s="9" t="s">
        <v>245</v>
      </c>
      <c r="C157" s="9" t="s">
        <v>287</v>
      </c>
      <c r="D157" s="9">
        <v>29</v>
      </c>
      <c r="E157" s="37">
        <f>Daily_Plan!B33</f>
        <v>46324</v>
      </c>
      <c r="F157" s="23">
        <f t="shared" si="10"/>
        <v>32.720000000000006</v>
      </c>
      <c r="G157" s="38">
        <f>Daily_Plan!X33</f>
        <v>11.32</v>
      </c>
      <c r="H157" s="38">
        <f>Product_Liftings!C33</f>
        <v>9</v>
      </c>
      <c r="I157" s="39">
        <f t="shared" si="11"/>
        <v>35.040000000000006</v>
      </c>
      <c r="J157" s="38">
        <f>Tank_Master!$E$8</f>
        <v>6</v>
      </c>
      <c r="K157" s="38">
        <f>Tank_Master!$D$8</f>
        <v>60</v>
      </c>
      <c r="L157" s="9" t="str">
        <f t="shared" si="12"/>
        <v>OK</v>
      </c>
      <c r="M157" s="40">
        <f t="shared" si="13"/>
        <v>0.58400000000000007</v>
      </c>
    </row>
    <row r="158" spans="1:13" x14ac:dyDescent="0.25">
      <c r="A158" s="9" t="s">
        <v>286</v>
      </c>
      <c r="B158" s="9" t="s">
        <v>245</v>
      </c>
      <c r="C158" s="9" t="s">
        <v>287</v>
      </c>
      <c r="D158" s="9">
        <v>30</v>
      </c>
      <c r="E158" s="37">
        <f>Daily_Plan!B34</f>
        <v>46325</v>
      </c>
      <c r="F158" s="23">
        <f t="shared" si="10"/>
        <v>35.040000000000006</v>
      </c>
      <c r="G158" s="38">
        <f>Daily_Plan!X34</f>
        <v>11.32</v>
      </c>
      <c r="H158" s="38">
        <f>Product_Liftings!C34</f>
        <v>9</v>
      </c>
      <c r="I158" s="39">
        <f t="shared" si="11"/>
        <v>37.360000000000007</v>
      </c>
      <c r="J158" s="38">
        <f>Tank_Master!$E$8</f>
        <v>6</v>
      </c>
      <c r="K158" s="38">
        <f>Tank_Master!$D$8</f>
        <v>60</v>
      </c>
      <c r="L158" s="9" t="str">
        <f t="shared" si="12"/>
        <v>OK</v>
      </c>
      <c r="M158" s="40">
        <f t="shared" si="13"/>
        <v>0.62266666666666681</v>
      </c>
    </row>
    <row r="159" spans="1:13" x14ac:dyDescent="0.25">
      <c r="A159" s="9" t="s">
        <v>286</v>
      </c>
      <c r="B159" s="9" t="s">
        <v>245</v>
      </c>
      <c r="C159" s="9" t="s">
        <v>287</v>
      </c>
      <c r="D159" s="9">
        <v>31</v>
      </c>
      <c r="E159" s="37">
        <f>Daily_Plan!B35</f>
        <v>46326</v>
      </c>
      <c r="F159" s="23">
        <f t="shared" si="10"/>
        <v>37.360000000000007</v>
      </c>
      <c r="G159" s="38">
        <f>Daily_Plan!X35</f>
        <v>11.32</v>
      </c>
      <c r="H159" s="38">
        <f>Product_Liftings!C35</f>
        <v>9</v>
      </c>
      <c r="I159" s="39">
        <f t="shared" si="11"/>
        <v>39.680000000000007</v>
      </c>
      <c r="J159" s="38">
        <f>Tank_Master!$E$8</f>
        <v>6</v>
      </c>
      <c r="K159" s="38">
        <f>Tank_Master!$D$8</f>
        <v>60</v>
      </c>
      <c r="L159" s="9" t="str">
        <f t="shared" si="12"/>
        <v>OK</v>
      </c>
      <c r="M159" s="40">
        <f t="shared" si="13"/>
        <v>0.66133333333333344</v>
      </c>
    </row>
    <row r="160" spans="1:13" x14ac:dyDescent="0.25">
      <c r="A160" s="9" t="s">
        <v>288</v>
      </c>
      <c r="B160" s="9" t="s">
        <v>246</v>
      </c>
      <c r="C160" s="9" t="s">
        <v>287</v>
      </c>
      <c r="D160" s="9">
        <v>1</v>
      </c>
      <c r="E160" s="37">
        <f>Daily_Plan!B5</f>
        <v>46296</v>
      </c>
      <c r="F160" s="38">
        <f>Tank_Master!$F$9</f>
        <v>110</v>
      </c>
      <c r="G160" s="38">
        <f>Daily_Plan!Y5</f>
        <v>9.5999999999999979</v>
      </c>
      <c r="H160" s="38">
        <f>Product_Liftings!D5</f>
        <v>0</v>
      </c>
      <c r="I160" s="39">
        <f t="shared" si="11"/>
        <v>119.6</v>
      </c>
      <c r="J160" s="38">
        <f>Tank_Master!$E$9</f>
        <v>25</v>
      </c>
      <c r="K160" s="38">
        <f>Tank_Master!$D$9</f>
        <v>250</v>
      </c>
      <c r="L160" s="9" t="str">
        <f t="shared" si="12"/>
        <v>OK</v>
      </c>
      <c r="M160" s="40">
        <f t="shared" si="13"/>
        <v>0.47839999999999999</v>
      </c>
    </row>
    <row r="161" spans="1:13" x14ac:dyDescent="0.25">
      <c r="A161" s="9" t="s">
        <v>288</v>
      </c>
      <c r="B161" s="9" t="s">
        <v>246</v>
      </c>
      <c r="C161" s="9" t="s">
        <v>287</v>
      </c>
      <c r="D161" s="9">
        <v>2</v>
      </c>
      <c r="E161" s="37">
        <f>Daily_Plan!B6</f>
        <v>46297</v>
      </c>
      <c r="F161" s="23">
        <f t="shared" ref="F161:F190" si="14">I160</f>
        <v>119.6</v>
      </c>
      <c r="G161" s="38">
        <f>Daily_Plan!Y6</f>
        <v>9.5999999999999979</v>
      </c>
      <c r="H161" s="38">
        <f>Product_Liftings!D6</f>
        <v>0</v>
      </c>
      <c r="I161" s="39">
        <f t="shared" si="11"/>
        <v>129.19999999999999</v>
      </c>
      <c r="J161" s="38">
        <f>Tank_Master!$E$9</f>
        <v>25</v>
      </c>
      <c r="K161" s="38">
        <f>Tank_Master!$D$9</f>
        <v>250</v>
      </c>
      <c r="L161" s="9" t="str">
        <f t="shared" si="12"/>
        <v>OK</v>
      </c>
      <c r="M161" s="40">
        <f t="shared" si="13"/>
        <v>0.51679999999999993</v>
      </c>
    </row>
    <row r="162" spans="1:13" x14ac:dyDescent="0.25">
      <c r="A162" s="9" t="s">
        <v>288</v>
      </c>
      <c r="B162" s="9" t="s">
        <v>246</v>
      </c>
      <c r="C162" s="9" t="s">
        <v>287</v>
      </c>
      <c r="D162" s="9">
        <v>3</v>
      </c>
      <c r="E162" s="37">
        <f>Daily_Plan!B7</f>
        <v>46298</v>
      </c>
      <c r="F162" s="23">
        <f t="shared" si="14"/>
        <v>129.19999999999999</v>
      </c>
      <c r="G162" s="38">
        <f>Daily_Plan!Y7</f>
        <v>8.52</v>
      </c>
      <c r="H162" s="38">
        <f>Product_Liftings!D7</f>
        <v>0</v>
      </c>
      <c r="I162" s="39">
        <f t="shared" si="11"/>
        <v>137.72</v>
      </c>
      <c r="J162" s="38">
        <f>Tank_Master!$E$9</f>
        <v>25</v>
      </c>
      <c r="K162" s="38">
        <f>Tank_Master!$D$9</f>
        <v>250</v>
      </c>
      <c r="L162" s="9" t="str">
        <f t="shared" si="12"/>
        <v>OK</v>
      </c>
      <c r="M162" s="40">
        <f t="shared" si="13"/>
        <v>0.55088000000000004</v>
      </c>
    </row>
    <row r="163" spans="1:13" x14ac:dyDescent="0.25">
      <c r="A163" s="9" t="s">
        <v>288</v>
      </c>
      <c r="B163" s="9" t="s">
        <v>246</v>
      </c>
      <c r="C163" s="9" t="s">
        <v>287</v>
      </c>
      <c r="D163" s="9">
        <v>4</v>
      </c>
      <c r="E163" s="37">
        <f>Daily_Plan!B8</f>
        <v>46299</v>
      </c>
      <c r="F163" s="23">
        <f t="shared" si="14"/>
        <v>137.72</v>
      </c>
      <c r="G163" s="38">
        <f>Daily_Plan!Y8</f>
        <v>8.8400000000000034</v>
      </c>
      <c r="H163" s="38">
        <f>Product_Liftings!D8</f>
        <v>0</v>
      </c>
      <c r="I163" s="39">
        <f t="shared" si="11"/>
        <v>146.56</v>
      </c>
      <c r="J163" s="38">
        <f>Tank_Master!$E$9</f>
        <v>25</v>
      </c>
      <c r="K163" s="38">
        <f>Tank_Master!$D$9</f>
        <v>250</v>
      </c>
      <c r="L163" s="9" t="str">
        <f t="shared" si="12"/>
        <v>OK</v>
      </c>
      <c r="M163" s="40">
        <f t="shared" si="13"/>
        <v>0.58623999999999998</v>
      </c>
    </row>
    <row r="164" spans="1:13" x14ac:dyDescent="0.25">
      <c r="A164" s="9" t="s">
        <v>288</v>
      </c>
      <c r="B164" s="9" t="s">
        <v>246</v>
      </c>
      <c r="C164" s="9" t="s">
        <v>287</v>
      </c>
      <c r="D164" s="9">
        <v>5</v>
      </c>
      <c r="E164" s="37">
        <f>Daily_Plan!B9</f>
        <v>46300</v>
      </c>
      <c r="F164" s="23">
        <f t="shared" si="14"/>
        <v>146.56</v>
      </c>
      <c r="G164" s="38">
        <f>Daily_Plan!Y9</f>
        <v>8.8000000000000007</v>
      </c>
      <c r="H164" s="38">
        <f>Product_Liftings!D9</f>
        <v>0</v>
      </c>
      <c r="I164" s="39">
        <f t="shared" si="11"/>
        <v>155.36000000000001</v>
      </c>
      <c r="J164" s="38">
        <f>Tank_Master!$E$9</f>
        <v>25</v>
      </c>
      <c r="K164" s="38">
        <f>Tank_Master!$D$9</f>
        <v>250</v>
      </c>
      <c r="L164" s="9" t="str">
        <f t="shared" si="12"/>
        <v>OK</v>
      </c>
      <c r="M164" s="40">
        <f t="shared" si="13"/>
        <v>0.6214400000000001</v>
      </c>
    </row>
    <row r="165" spans="1:13" x14ac:dyDescent="0.25">
      <c r="A165" s="9" t="s">
        <v>288</v>
      </c>
      <c r="B165" s="9" t="s">
        <v>246</v>
      </c>
      <c r="C165" s="9" t="s">
        <v>287</v>
      </c>
      <c r="D165" s="9">
        <v>6</v>
      </c>
      <c r="E165" s="37">
        <f>Daily_Plan!B10</f>
        <v>46301</v>
      </c>
      <c r="F165" s="23">
        <f t="shared" si="14"/>
        <v>155.36000000000001</v>
      </c>
      <c r="G165" s="38">
        <f>Daily_Plan!Y10</f>
        <v>9.2600000000000016</v>
      </c>
      <c r="H165" s="38">
        <f>Product_Liftings!D10</f>
        <v>0</v>
      </c>
      <c r="I165" s="39">
        <f t="shared" si="11"/>
        <v>164.62</v>
      </c>
      <c r="J165" s="38">
        <f>Tank_Master!$E$9</f>
        <v>25</v>
      </c>
      <c r="K165" s="38">
        <f>Tank_Master!$D$9</f>
        <v>250</v>
      </c>
      <c r="L165" s="9" t="str">
        <f t="shared" si="12"/>
        <v>OK</v>
      </c>
      <c r="M165" s="40">
        <f t="shared" si="13"/>
        <v>0.65848000000000007</v>
      </c>
    </row>
    <row r="166" spans="1:13" x14ac:dyDescent="0.25">
      <c r="A166" s="9" t="s">
        <v>288</v>
      </c>
      <c r="B166" s="9" t="s">
        <v>246</v>
      </c>
      <c r="C166" s="9" t="s">
        <v>287</v>
      </c>
      <c r="D166" s="9">
        <v>7</v>
      </c>
      <c r="E166" s="37">
        <f>Daily_Plan!B11</f>
        <v>46302</v>
      </c>
      <c r="F166" s="23">
        <f t="shared" si="14"/>
        <v>164.62</v>
      </c>
      <c r="G166" s="38">
        <f>Daily_Plan!Y11</f>
        <v>8.9400000000000013</v>
      </c>
      <c r="H166" s="38">
        <f>Product_Liftings!D11</f>
        <v>0</v>
      </c>
      <c r="I166" s="39">
        <f t="shared" si="11"/>
        <v>173.56</v>
      </c>
      <c r="J166" s="38">
        <f>Tank_Master!$E$9</f>
        <v>25</v>
      </c>
      <c r="K166" s="38">
        <f>Tank_Master!$D$9</f>
        <v>250</v>
      </c>
      <c r="L166" s="9" t="str">
        <f t="shared" si="12"/>
        <v>OK</v>
      </c>
      <c r="M166" s="40">
        <f t="shared" si="13"/>
        <v>0.69423999999999997</v>
      </c>
    </row>
    <row r="167" spans="1:13" x14ac:dyDescent="0.25">
      <c r="A167" s="9" t="s">
        <v>288</v>
      </c>
      <c r="B167" s="9" t="s">
        <v>246</v>
      </c>
      <c r="C167" s="9" t="s">
        <v>287</v>
      </c>
      <c r="D167" s="9">
        <v>8</v>
      </c>
      <c r="E167" s="37">
        <f>Daily_Plan!B12</f>
        <v>46303</v>
      </c>
      <c r="F167" s="23">
        <f t="shared" si="14"/>
        <v>173.56</v>
      </c>
      <c r="G167" s="38">
        <f>Daily_Plan!Y12</f>
        <v>9.5999999999999979</v>
      </c>
      <c r="H167" s="38">
        <f>Product_Liftings!D12</f>
        <v>0</v>
      </c>
      <c r="I167" s="39">
        <f t="shared" si="11"/>
        <v>183.16</v>
      </c>
      <c r="J167" s="38">
        <f>Tank_Master!$E$9</f>
        <v>25</v>
      </c>
      <c r="K167" s="38">
        <f>Tank_Master!$D$9</f>
        <v>250</v>
      </c>
      <c r="L167" s="9" t="str">
        <f t="shared" si="12"/>
        <v>OK</v>
      </c>
      <c r="M167" s="40">
        <f t="shared" si="13"/>
        <v>0.73263999999999996</v>
      </c>
    </row>
    <row r="168" spans="1:13" x14ac:dyDescent="0.25">
      <c r="A168" s="9" t="s">
        <v>288</v>
      </c>
      <c r="B168" s="9" t="s">
        <v>246</v>
      </c>
      <c r="C168" s="9" t="s">
        <v>287</v>
      </c>
      <c r="D168" s="9">
        <v>9</v>
      </c>
      <c r="E168" s="37">
        <f>Daily_Plan!B13</f>
        <v>46304</v>
      </c>
      <c r="F168" s="23">
        <f t="shared" si="14"/>
        <v>183.16</v>
      </c>
      <c r="G168" s="38">
        <f>Daily_Plan!Y13</f>
        <v>8.6199999999999974</v>
      </c>
      <c r="H168" s="38">
        <f>Product_Liftings!D13</f>
        <v>100</v>
      </c>
      <c r="I168" s="39">
        <f t="shared" si="11"/>
        <v>91.78</v>
      </c>
      <c r="J168" s="38">
        <f>Tank_Master!$E$9</f>
        <v>25</v>
      </c>
      <c r="K168" s="38">
        <f>Tank_Master!$D$9</f>
        <v>250</v>
      </c>
      <c r="L168" s="9" t="str">
        <f t="shared" si="12"/>
        <v>OK</v>
      </c>
      <c r="M168" s="40">
        <f t="shared" si="13"/>
        <v>0.36712</v>
      </c>
    </row>
    <row r="169" spans="1:13" x14ac:dyDescent="0.25">
      <c r="A169" s="9" t="s">
        <v>288</v>
      </c>
      <c r="B169" s="9" t="s">
        <v>246</v>
      </c>
      <c r="C169" s="9" t="s">
        <v>287</v>
      </c>
      <c r="D169" s="9">
        <v>10</v>
      </c>
      <c r="E169" s="37">
        <f>Daily_Plan!B14</f>
        <v>46305</v>
      </c>
      <c r="F169" s="23">
        <f t="shared" si="14"/>
        <v>91.78</v>
      </c>
      <c r="G169" s="38">
        <f>Daily_Plan!Y14</f>
        <v>9.5999999999999979</v>
      </c>
      <c r="H169" s="38">
        <f>Product_Liftings!D14</f>
        <v>0</v>
      </c>
      <c r="I169" s="39">
        <f t="shared" si="11"/>
        <v>101.38</v>
      </c>
      <c r="J169" s="38">
        <f>Tank_Master!$E$9</f>
        <v>25</v>
      </c>
      <c r="K169" s="38">
        <f>Tank_Master!$D$9</f>
        <v>250</v>
      </c>
      <c r="L169" s="9" t="str">
        <f t="shared" si="12"/>
        <v>OK</v>
      </c>
      <c r="M169" s="40">
        <f t="shared" si="13"/>
        <v>0.40551999999999999</v>
      </c>
    </row>
    <row r="170" spans="1:13" x14ac:dyDescent="0.25">
      <c r="A170" s="9" t="s">
        <v>288</v>
      </c>
      <c r="B170" s="9" t="s">
        <v>246</v>
      </c>
      <c r="C170" s="9" t="s">
        <v>287</v>
      </c>
      <c r="D170" s="9">
        <v>11</v>
      </c>
      <c r="E170" s="37">
        <f>Daily_Plan!B15</f>
        <v>46306</v>
      </c>
      <c r="F170" s="23">
        <f t="shared" si="14"/>
        <v>101.38</v>
      </c>
      <c r="G170" s="38">
        <f>Daily_Plan!Y15</f>
        <v>9.5999999999999979</v>
      </c>
      <c r="H170" s="38">
        <f>Product_Liftings!D15</f>
        <v>0</v>
      </c>
      <c r="I170" s="39">
        <f t="shared" si="11"/>
        <v>110.97999999999999</v>
      </c>
      <c r="J170" s="38">
        <f>Tank_Master!$E$9</f>
        <v>25</v>
      </c>
      <c r="K170" s="38">
        <f>Tank_Master!$D$9</f>
        <v>250</v>
      </c>
      <c r="L170" s="9" t="str">
        <f t="shared" si="12"/>
        <v>OK</v>
      </c>
      <c r="M170" s="40">
        <f t="shared" si="13"/>
        <v>0.44391999999999998</v>
      </c>
    </row>
    <row r="171" spans="1:13" x14ac:dyDescent="0.25">
      <c r="A171" s="9" t="s">
        <v>288</v>
      </c>
      <c r="B171" s="9" t="s">
        <v>246</v>
      </c>
      <c r="C171" s="9" t="s">
        <v>287</v>
      </c>
      <c r="D171" s="9">
        <v>12</v>
      </c>
      <c r="E171" s="37">
        <f>Daily_Plan!B16</f>
        <v>46307</v>
      </c>
      <c r="F171" s="23">
        <f t="shared" si="14"/>
        <v>110.97999999999999</v>
      </c>
      <c r="G171" s="38">
        <f>Daily_Plan!Y16</f>
        <v>9.5999999999999979</v>
      </c>
      <c r="H171" s="38">
        <f>Product_Liftings!D16</f>
        <v>0</v>
      </c>
      <c r="I171" s="39">
        <f t="shared" si="11"/>
        <v>120.57999999999998</v>
      </c>
      <c r="J171" s="38">
        <f>Tank_Master!$E$9</f>
        <v>25</v>
      </c>
      <c r="K171" s="38">
        <f>Tank_Master!$D$9</f>
        <v>250</v>
      </c>
      <c r="L171" s="9" t="str">
        <f t="shared" si="12"/>
        <v>OK</v>
      </c>
      <c r="M171" s="40">
        <f t="shared" si="13"/>
        <v>0.48231999999999992</v>
      </c>
    </row>
    <row r="172" spans="1:13" x14ac:dyDescent="0.25">
      <c r="A172" s="9" t="s">
        <v>288</v>
      </c>
      <c r="B172" s="9" t="s">
        <v>246</v>
      </c>
      <c r="C172" s="9" t="s">
        <v>287</v>
      </c>
      <c r="D172" s="9">
        <v>13</v>
      </c>
      <c r="E172" s="37">
        <f>Daily_Plan!B17</f>
        <v>46308</v>
      </c>
      <c r="F172" s="23">
        <f t="shared" si="14"/>
        <v>120.57999999999998</v>
      </c>
      <c r="G172" s="38">
        <f>Daily_Plan!Y17</f>
        <v>9.5999999999999979</v>
      </c>
      <c r="H172" s="38">
        <f>Product_Liftings!D17</f>
        <v>0</v>
      </c>
      <c r="I172" s="39">
        <f t="shared" si="11"/>
        <v>130.17999999999998</v>
      </c>
      <c r="J172" s="38">
        <f>Tank_Master!$E$9</f>
        <v>25</v>
      </c>
      <c r="K172" s="38">
        <f>Tank_Master!$D$9</f>
        <v>250</v>
      </c>
      <c r="L172" s="9" t="str">
        <f t="shared" si="12"/>
        <v>OK</v>
      </c>
      <c r="M172" s="40">
        <f t="shared" si="13"/>
        <v>0.52071999999999996</v>
      </c>
    </row>
    <row r="173" spans="1:13" x14ac:dyDescent="0.25">
      <c r="A173" s="9" t="s">
        <v>288</v>
      </c>
      <c r="B173" s="9" t="s">
        <v>246</v>
      </c>
      <c r="C173" s="9" t="s">
        <v>287</v>
      </c>
      <c r="D173" s="9">
        <v>14</v>
      </c>
      <c r="E173" s="37">
        <f>Daily_Plan!B18</f>
        <v>46309</v>
      </c>
      <c r="F173" s="23">
        <f t="shared" si="14"/>
        <v>130.17999999999998</v>
      </c>
      <c r="G173" s="38">
        <f>Daily_Plan!Y18</f>
        <v>9.5999999999999979</v>
      </c>
      <c r="H173" s="38">
        <f>Product_Liftings!D18</f>
        <v>0</v>
      </c>
      <c r="I173" s="39">
        <f t="shared" si="11"/>
        <v>139.77999999999997</v>
      </c>
      <c r="J173" s="38">
        <f>Tank_Master!$E$9</f>
        <v>25</v>
      </c>
      <c r="K173" s="38">
        <f>Tank_Master!$D$9</f>
        <v>250</v>
      </c>
      <c r="L173" s="9" t="str">
        <f t="shared" si="12"/>
        <v>OK</v>
      </c>
      <c r="M173" s="40">
        <f t="shared" si="13"/>
        <v>0.55911999999999984</v>
      </c>
    </row>
    <row r="174" spans="1:13" x14ac:dyDescent="0.25">
      <c r="A174" s="9" t="s">
        <v>288</v>
      </c>
      <c r="B174" s="9" t="s">
        <v>246</v>
      </c>
      <c r="C174" s="9" t="s">
        <v>287</v>
      </c>
      <c r="D174" s="9">
        <v>15</v>
      </c>
      <c r="E174" s="37">
        <f>Daily_Plan!B19</f>
        <v>46310</v>
      </c>
      <c r="F174" s="23">
        <f t="shared" si="14"/>
        <v>139.77999999999997</v>
      </c>
      <c r="G174" s="38">
        <f>Daily_Plan!Y19</f>
        <v>9.5999999999999979</v>
      </c>
      <c r="H174" s="38">
        <f>Product_Liftings!D19</f>
        <v>0</v>
      </c>
      <c r="I174" s="39">
        <f t="shared" si="11"/>
        <v>149.37999999999997</v>
      </c>
      <c r="J174" s="38">
        <f>Tank_Master!$E$9</f>
        <v>25</v>
      </c>
      <c r="K174" s="38">
        <f>Tank_Master!$D$9</f>
        <v>250</v>
      </c>
      <c r="L174" s="9" t="str">
        <f t="shared" si="12"/>
        <v>OK</v>
      </c>
      <c r="M174" s="40">
        <f t="shared" si="13"/>
        <v>0.59751999999999983</v>
      </c>
    </row>
    <row r="175" spans="1:13" x14ac:dyDescent="0.25">
      <c r="A175" s="9" t="s">
        <v>288</v>
      </c>
      <c r="B175" s="9" t="s">
        <v>246</v>
      </c>
      <c r="C175" s="9" t="s">
        <v>287</v>
      </c>
      <c r="D175" s="9">
        <v>16</v>
      </c>
      <c r="E175" s="37">
        <f>Daily_Plan!B20</f>
        <v>46311</v>
      </c>
      <c r="F175" s="23">
        <f t="shared" si="14"/>
        <v>149.37999999999997</v>
      </c>
      <c r="G175" s="38">
        <f>Daily_Plan!Y20</f>
        <v>9.5999999999999979</v>
      </c>
      <c r="H175" s="38">
        <f>Product_Liftings!D20</f>
        <v>0</v>
      </c>
      <c r="I175" s="39">
        <f t="shared" si="11"/>
        <v>158.97999999999996</v>
      </c>
      <c r="J175" s="38">
        <f>Tank_Master!$E$9</f>
        <v>25</v>
      </c>
      <c r="K175" s="38">
        <f>Tank_Master!$D$9</f>
        <v>250</v>
      </c>
      <c r="L175" s="9" t="str">
        <f t="shared" si="12"/>
        <v>OK</v>
      </c>
      <c r="M175" s="40">
        <f t="shared" si="13"/>
        <v>0.63591999999999982</v>
      </c>
    </row>
    <row r="176" spans="1:13" x14ac:dyDescent="0.25">
      <c r="A176" s="9" t="s">
        <v>288</v>
      </c>
      <c r="B176" s="9" t="s">
        <v>246</v>
      </c>
      <c r="C176" s="9" t="s">
        <v>287</v>
      </c>
      <c r="D176" s="9">
        <v>17</v>
      </c>
      <c r="E176" s="37">
        <f>Daily_Plan!B21</f>
        <v>46312</v>
      </c>
      <c r="F176" s="23">
        <f t="shared" si="14"/>
        <v>158.97999999999996</v>
      </c>
      <c r="G176" s="38">
        <f>Daily_Plan!Y21</f>
        <v>9.5999999999999979</v>
      </c>
      <c r="H176" s="38">
        <f>Product_Liftings!D21</f>
        <v>0</v>
      </c>
      <c r="I176" s="39">
        <f t="shared" si="11"/>
        <v>168.57999999999996</v>
      </c>
      <c r="J176" s="38">
        <f>Tank_Master!$E$9</f>
        <v>25</v>
      </c>
      <c r="K176" s="38">
        <f>Tank_Master!$D$9</f>
        <v>250</v>
      </c>
      <c r="L176" s="9" t="str">
        <f t="shared" si="12"/>
        <v>OK</v>
      </c>
      <c r="M176" s="40">
        <f t="shared" si="13"/>
        <v>0.67431999999999981</v>
      </c>
    </row>
    <row r="177" spans="1:13" x14ac:dyDescent="0.25">
      <c r="A177" s="9" t="s">
        <v>288</v>
      </c>
      <c r="B177" s="9" t="s">
        <v>246</v>
      </c>
      <c r="C177" s="9" t="s">
        <v>287</v>
      </c>
      <c r="D177" s="9">
        <v>18</v>
      </c>
      <c r="E177" s="37">
        <f>Daily_Plan!B22</f>
        <v>46313</v>
      </c>
      <c r="F177" s="23">
        <f t="shared" si="14"/>
        <v>168.57999999999996</v>
      </c>
      <c r="G177" s="38">
        <f>Daily_Plan!Y22</f>
        <v>9.5999999999999979</v>
      </c>
      <c r="H177" s="38">
        <f>Product_Liftings!D22</f>
        <v>0</v>
      </c>
      <c r="I177" s="39">
        <f t="shared" si="11"/>
        <v>178.17999999999995</v>
      </c>
      <c r="J177" s="38">
        <f>Tank_Master!$E$9</f>
        <v>25</v>
      </c>
      <c r="K177" s="38">
        <f>Tank_Master!$D$9</f>
        <v>250</v>
      </c>
      <c r="L177" s="9" t="str">
        <f t="shared" si="12"/>
        <v>OK</v>
      </c>
      <c r="M177" s="40">
        <f t="shared" si="13"/>
        <v>0.7127199999999998</v>
      </c>
    </row>
    <row r="178" spans="1:13" x14ac:dyDescent="0.25">
      <c r="A178" s="9" t="s">
        <v>288</v>
      </c>
      <c r="B178" s="9" t="s">
        <v>246</v>
      </c>
      <c r="C178" s="9" t="s">
        <v>287</v>
      </c>
      <c r="D178" s="9">
        <v>19</v>
      </c>
      <c r="E178" s="37">
        <f>Daily_Plan!B23</f>
        <v>46314</v>
      </c>
      <c r="F178" s="23">
        <f t="shared" si="14"/>
        <v>178.17999999999995</v>
      </c>
      <c r="G178" s="38">
        <f>Daily_Plan!Y23</f>
        <v>9.5999999999999979</v>
      </c>
      <c r="H178" s="38">
        <f>Product_Liftings!D23</f>
        <v>0</v>
      </c>
      <c r="I178" s="39">
        <f t="shared" si="11"/>
        <v>187.77999999999994</v>
      </c>
      <c r="J178" s="38">
        <f>Tank_Master!$E$9</f>
        <v>25</v>
      </c>
      <c r="K178" s="38">
        <f>Tank_Master!$D$9</f>
        <v>250</v>
      </c>
      <c r="L178" s="9" t="str">
        <f t="shared" si="12"/>
        <v>OK</v>
      </c>
      <c r="M178" s="40">
        <f t="shared" si="13"/>
        <v>0.75111999999999979</v>
      </c>
    </row>
    <row r="179" spans="1:13" x14ac:dyDescent="0.25">
      <c r="A179" s="9" t="s">
        <v>288</v>
      </c>
      <c r="B179" s="9" t="s">
        <v>246</v>
      </c>
      <c r="C179" s="9" t="s">
        <v>287</v>
      </c>
      <c r="D179" s="9">
        <v>20</v>
      </c>
      <c r="E179" s="37">
        <f>Daily_Plan!B24</f>
        <v>46315</v>
      </c>
      <c r="F179" s="23">
        <f t="shared" si="14"/>
        <v>187.77999999999994</v>
      </c>
      <c r="G179" s="38">
        <f>Daily_Plan!Y24</f>
        <v>9.5999999999999979</v>
      </c>
      <c r="H179" s="38">
        <f>Product_Liftings!D24</f>
        <v>100</v>
      </c>
      <c r="I179" s="39">
        <f t="shared" si="11"/>
        <v>97.379999999999939</v>
      </c>
      <c r="J179" s="38">
        <f>Tank_Master!$E$9</f>
        <v>25</v>
      </c>
      <c r="K179" s="38">
        <f>Tank_Master!$D$9</f>
        <v>250</v>
      </c>
      <c r="L179" s="9" t="str">
        <f t="shared" si="12"/>
        <v>OK</v>
      </c>
      <c r="M179" s="40">
        <f t="shared" si="13"/>
        <v>0.38951999999999976</v>
      </c>
    </row>
    <row r="180" spans="1:13" x14ac:dyDescent="0.25">
      <c r="A180" s="9" t="s">
        <v>288</v>
      </c>
      <c r="B180" s="9" t="s">
        <v>246</v>
      </c>
      <c r="C180" s="9" t="s">
        <v>287</v>
      </c>
      <c r="D180" s="9">
        <v>21</v>
      </c>
      <c r="E180" s="37">
        <f>Daily_Plan!B25</f>
        <v>46316</v>
      </c>
      <c r="F180" s="23">
        <f t="shared" si="14"/>
        <v>97.379999999999939</v>
      </c>
      <c r="G180" s="38">
        <f>Daily_Plan!Y25</f>
        <v>9.5999999999999979</v>
      </c>
      <c r="H180" s="38">
        <f>Product_Liftings!D25</f>
        <v>0</v>
      </c>
      <c r="I180" s="39">
        <f t="shared" si="11"/>
        <v>106.97999999999993</v>
      </c>
      <c r="J180" s="38">
        <f>Tank_Master!$E$9</f>
        <v>25</v>
      </c>
      <c r="K180" s="38">
        <f>Tank_Master!$D$9</f>
        <v>250</v>
      </c>
      <c r="L180" s="9" t="str">
        <f t="shared" si="12"/>
        <v>OK</v>
      </c>
      <c r="M180" s="40">
        <f t="shared" si="13"/>
        <v>0.42791999999999975</v>
      </c>
    </row>
    <row r="181" spans="1:13" x14ac:dyDescent="0.25">
      <c r="A181" s="9" t="s">
        <v>288</v>
      </c>
      <c r="B181" s="9" t="s">
        <v>246</v>
      </c>
      <c r="C181" s="9" t="s">
        <v>287</v>
      </c>
      <c r="D181" s="9">
        <v>22</v>
      </c>
      <c r="E181" s="37">
        <f>Daily_Plan!B26</f>
        <v>46317</v>
      </c>
      <c r="F181" s="23">
        <f t="shared" si="14"/>
        <v>106.97999999999993</v>
      </c>
      <c r="G181" s="38">
        <f>Daily_Plan!Y26</f>
        <v>9.5999999999999979</v>
      </c>
      <c r="H181" s="38">
        <f>Product_Liftings!D26</f>
        <v>0</v>
      </c>
      <c r="I181" s="39">
        <f t="shared" si="11"/>
        <v>116.57999999999993</v>
      </c>
      <c r="J181" s="38">
        <f>Tank_Master!$E$9</f>
        <v>25</v>
      </c>
      <c r="K181" s="38">
        <f>Tank_Master!$D$9</f>
        <v>250</v>
      </c>
      <c r="L181" s="9" t="str">
        <f t="shared" si="12"/>
        <v>OK</v>
      </c>
      <c r="M181" s="40">
        <f t="shared" si="13"/>
        <v>0.46631999999999973</v>
      </c>
    </row>
    <row r="182" spans="1:13" x14ac:dyDescent="0.25">
      <c r="A182" s="9" t="s">
        <v>288</v>
      </c>
      <c r="B182" s="9" t="s">
        <v>246</v>
      </c>
      <c r="C182" s="9" t="s">
        <v>287</v>
      </c>
      <c r="D182" s="9">
        <v>23</v>
      </c>
      <c r="E182" s="37">
        <f>Daily_Plan!B27</f>
        <v>46318</v>
      </c>
      <c r="F182" s="23">
        <f t="shared" si="14"/>
        <v>116.57999999999993</v>
      </c>
      <c r="G182" s="38">
        <f>Daily_Plan!Y27</f>
        <v>9.5999999999999979</v>
      </c>
      <c r="H182" s="38">
        <f>Product_Liftings!D27</f>
        <v>0</v>
      </c>
      <c r="I182" s="39">
        <f t="shared" si="11"/>
        <v>126.17999999999992</v>
      </c>
      <c r="J182" s="38">
        <f>Tank_Master!$E$9</f>
        <v>25</v>
      </c>
      <c r="K182" s="38">
        <f>Tank_Master!$D$9</f>
        <v>250</v>
      </c>
      <c r="L182" s="9" t="str">
        <f t="shared" si="12"/>
        <v>OK</v>
      </c>
      <c r="M182" s="40">
        <f t="shared" si="13"/>
        <v>0.50471999999999972</v>
      </c>
    </row>
    <row r="183" spans="1:13" x14ac:dyDescent="0.25">
      <c r="A183" s="9" t="s">
        <v>288</v>
      </c>
      <c r="B183" s="9" t="s">
        <v>246</v>
      </c>
      <c r="C183" s="9" t="s">
        <v>287</v>
      </c>
      <c r="D183" s="9">
        <v>24</v>
      </c>
      <c r="E183" s="37">
        <f>Daily_Plan!B28</f>
        <v>46319</v>
      </c>
      <c r="F183" s="23">
        <f t="shared" si="14"/>
        <v>126.17999999999992</v>
      </c>
      <c r="G183" s="38">
        <f>Daily_Plan!Y28</f>
        <v>9.5999999999999979</v>
      </c>
      <c r="H183" s="38">
        <f>Product_Liftings!D28</f>
        <v>0</v>
      </c>
      <c r="I183" s="39">
        <f t="shared" si="11"/>
        <v>135.77999999999992</v>
      </c>
      <c r="J183" s="38">
        <f>Tank_Master!$E$9</f>
        <v>25</v>
      </c>
      <c r="K183" s="38">
        <f>Tank_Master!$D$9</f>
        <v>250</v>
      </c>
      <c r="L183" s="9" t="str">
        <f t="shared" si="12"/>
        <v>OK</v>
      </c>
      <c r="M183" s="40">
        <f t="shared" si="13"/>
        <v>0.54311999999999971</v>
      </c>
    </row>
    <row r="184" spans="1:13" x14ac:dyDescent="0.25">
      <c r="A184" s="9" t="s">
        <v>288</v>
      </c>
      <c r="B184" s="9" t="s">
        <v>246</v>
      </c>
      <c r="C184" s="9" t="s">
        <v>287</v>
      </c>
      <c r="D184" s="9">
        <v>25</v>
      </c>
      <c r="E184" s="37">
        <f>Daily_Plan!B29</f>
        <v>46320</v>
      </c>
      <c r="F184" s="23">
        <f t="shared" si="14"/>
        <v>135.77999999999992</v>
      </c>
      <c r="G184" s="38">
        <f>Daily_Plan!Y29</f>
        <v>9.5999999999999979</v>
      </c>
      <c r="H184" s="38">
        <f>Product_Liftings!D29</f>
        <v>0</v>
      </c>
      <c r="I184" s="39">
        <f t="shared" si="11"/>
        <v>145.37999999999991</v>
      </c>
      <c r="J184" s="38">
        <f>Tank_Master!$E$9</f>
        <v>25</v>
      </c>
      <c r="K184" s="38">
        <f>Tank_Master!$D$9</f>
        <v>250</v>
      </c>
      <c r="L184" s="9" t="str">
        <f t="shared" si="12"/>
        <v>OK</v>
      </c>
      <c r="M184" s="40">
        <f t="shared" si="13"/>
        <v>0.58151999999999959</v>
      </c>
    </row>
    <row r="185" spans="1:13" x14ac:dyDescent="0.25">
      <c r="A185" s="9" t="s">
        <v>288</v>
      </c>
      <c r="B185" s="9" t="s">
        <v>246</v>
      </c>
      <c r="C185" s="9" t="s">
        <v>287</v>
      </c>
      <c r="D185" s="9">
        <v>26</v>
      </c>
      <c r="E185" s="37">
        <f>Daily_Plan!B30</f>
        <v>46321</v>
      </c>
      <c r="F185" s="23">
        <f t="shared" si="14"/>
        <v>145.37999999999991</v>
      </c>
      <c r="G185" s="38">
        <f>Daily_Plan!Y30</f>
        <v>9.5999999999999979</v>
      </c>
      <c r="H185" s="38">
        <f>Product_Liftings!D30</f>
        <v>0</v>
      </c>
      <c r="I185" s="39">
        <f t="shared" si="11"/>
        <v>154.9799999999999</v>
      </c>
      <c r="J185" s="38">
        <f>Tank_Master!$E$9</f>
        <v>25</v>
      </c>
      <c r="K185" s="38">
        <f>Tank_Master!$D$9</f>
        <v>250</v>
      </c>
      <c r="L185" s="9" t="str">
        <f t="shared" si="12"/>
        <v>OK</v>
      </c>
      <c r="M185" s="40">
        <f t="shared" si="13"/>
        <v>0.61991999999999958</v>
      </c>
    </row>
    <row r="186" spans="1:13" x14ac:dyDescent="0.25">
      <c r="A186" s="9" t="s">
        <v>288</v>
      </c>
      <c r="B186" s="9" t="s">
        <v>246</v>
      </c>
      <c r="C186" s="9" t="s">
        <v>287</v>
      </c>
      <c r="D186" s="9">
        <v>27</v>
      </c>
      <c r="E186" s="37">
        <f>Daily_Plan!B31</f>
        <v>46322</v>
      </c>
      <c r="F186" s="23">
        <f t="shared" si="14"/>
        <v>154.9799999999999</v>
      </c>
      <c r="G186" s="38">
        <f>Daily_Plan!Y31</f>
        <v>9.5999999999999979</v>
      </c>
      <c r="H186" s="38">
        <f>Product_Liftings!D31</f>
        <v>0</v>
      </c>
      <c r="I186" s="39">
        <f t="shared" si="11"/>
        <v>164.5799999999999</v>
      </c>
      <c r="J186" s="38">
        <f>Tank_Master!$E$9</f>
        <v>25</v>
      </c>
      <c r="K186" s="38">
        <f>Tank_Master!$D$9</f>
        <v>250</v>
      </c>
      <c r="L186" s="9" t="str">
        <f t="shared" si="12"/>
        <v>OK</v>
      </c>
      <c r="M186" s="40">
        <f t="shared" si="13"/>
        <v>0.65831999999999957</v>
      </c>
    </row>
    <row r="187" spans="1:13" x14ac:dyDescent="0.25">
      <c r="A187" s="9" t="s">
        <v>288</v>
      </c>
      <c r="B187" s="9" t="s">
        <v>246</v>
      </c>
      <c r="C187" s="9" t="s">
        <v>287</v>
      </c>
      <c r="D187" s="9">
        <v>28</v>
      </c>
      <c r="E187" s="37">
        <f>Daily_Plan!B32</f>
        <v>46323</v>
      </c>
      <c r="F187" s="23">
        <f t="shared" si="14"/>
        <v>164.5799999999999</v>
      </c>
      <c r="G187" s="38">
        <f>Daily_Plan!Y32</f>
        <v>9.5999999999999979</v>
      </c>
      <c r="H187" s="38">
        <f>Product_Liftings!D32</f>
        <v>0</v>
      </c>
      <c r="I187" s="39">
        <f t="shared" si="11"/>
        <v>174.17999999999989</v>
      </c>
      <c r="J187" s="38">
        <f>Tank_Master!$E$9</f>
        <v>25</v>
      </c>
      <c r="K187" s="38">
        <f>Tank_Master!$D$9</f>
        <v>250</v>
      </c>
      <c r="L187" s="9" t="str">
        <f t="shared" si="12"/>
        <v>OK</v>
      </c>
      <c r="M187" s="40">
        <f t="shared" si="13"/>
        <v>0.69671999999999956</v>
      </c>
    </row>
    <row r="188" spans="1:13" x14ac:dyDescent="0.25">
      <c r="A188" s="9" t="s">
        <v>288</v>
      </c>
      <c r="B188" s="9" t="s">
        <v>246</v>
      </c>
      <c r="C188" s="9" t="s">
        <v>287</v>
      </c>
      <c r="D188" s="9">
        <v>29</v>
      </c>
      <c r="E188" s="37">
        <f>Daily_Plan!B33</f>
        <v>46324</v>
      </c>
      <c r="F188" s="23">
        <f t="shared" si="14"/>
        <v>174.17999999999989</v>
      </c>
      <c r="G188" s="38">
        <f>Daily_Plan!Y33</f>
        <v>9.5999999999999979</v>
      </c>
      <c r="H188" s="38">
        <f>Product_Liftings!D33</f>
        <v>0</v>
      </c>
      <c r="I188" s="39">
        <f t="shared" si="11"/>
        <v>183.77999999999989</v>
      </c>
      <c r="J188" s="38">
        <f>Tank_Master!$E$9</f>
        <v>25</v>
      </c>
      <c r="K188" s="38">
        <f>Tank_Master!$D$9</f>
        <v>250</v>
      </c>
      <c r="L188" s="9" t="str">
        <f t="shared" si="12"/>
        <v>OK</v>
      </c>
      <c r="M188" s="40">
        <f t="shared" si="13"/>
        <v>0.73511999999999955</v>
      </c>
    </row>
    <row r="189" spans="1:13" x14ac:dyDescent="0.25">
      <c r="A189" s="9" t="s">
        <v>288</v>
      </c>
      <c r="B189" s="9" t="s">
        <v>246</v>
      </c>
      <c r="C189" s="9" t="s">
        <v>287</v>
      </c>
      <c r="D189" s="9">
        <v>30</v>
      </c>
      <c r="E189" s="37">
        <f>Daily_Plan!B34</f>
        <v>46325</v>
      </c>
      <c r="F189" s="23">
        <f t="shared" si="14"/>
        <v>183.77999999999989</v>
      </c>
      <c r="G189" s="38">
        <f>Daily_Plan!Y34</f>
        <v>9.5999999999999979</v>
      </c>
      <c r="H189" s="38">
        <f>Product_Liftings!D34</f>
        <v>100</v>
      </c>
      <c r="I189" s="39">
        <f t="shared" si="11"/>
        <v>93.379999999999882</v>
      </c>
      <c r="J189" s="38">
        <f>Tank_Master!$E$9</f>
        <v>25</v>
      </c>
      <c r="K189" s="38">
        <f>Tank_Master!$D$9</f>
        <v>250</v>
      </c>
      <c r="L189" s="9" t="str">
        <f t="shared" si="12"/>
        <v>OK</v>
      </c>
      <c r="M189" s="40">
        <f t="shared" si="13"/>
        <v>0.37351999999999952</v>
      </c>
    </row>
    <row r="190" spans="1:13" x14ac:dyDescent="0.25">
      <c r="A190" s="9" t="s">
        <v>288</v>
      </c>
      <c r="B190" s="9" t="s">
        <v>246</v>
      </c>
      <c r="C190" s="9" t="s">
        <v>287</v>
      </c>
      <c r="D190" s="9">
        <v>31</v>
      </c>
      <c r="E190" s="37">
        <f>Daily_Plan!B35</f>
        <v>46326</v>
      </c>
      <c r="F190" s="23">
        <f t="shared" si="14"/>
        <v>93.379999999999882</v>
      </c>
      <c r="G190" s="38">
        <f>Daily_Plan!Y35</f>
        <v>9.5999999999999979</v>
      </c>
      <c r="H190" s="38">
        <f>Product_Liftings!D35</f>
        <v>0</v>
      </c>
      <c r="I190" s="39">
        <f t="shared" si="11"/>
        <v>102.97999999999988</v>
      </c>
      <c r="J190" s="38">
        <f>Tank_Master!$E$9</f>
        <v>25</v>
      </c>
      <c r="K190" s="38">
        <f>Tank_Master!$D$9</f>
        <v>250</v>
      </c>
      <c r="L190" s="9" t="str">
        <f t="shared" si="12"/>
        <v>OK</v>
      </c>
      <c r="M190" s="40">
        <f t="shared" si="13"/>
        <v>0.41191999999999951</v>
      </c>
    </row>
    <row r="191" spans="1:13" x14ac:dyDescent="0.25">
      <c r="A191" s="9" t="s">
        <v>289</v>
      </c>
      <c r="B191" s="9" t="s">
        <v>247</v>
      </c>
      <c r="C191" s="9" t="s">
        <v>287</v>
      </c>
      <c r="D191" s="9">
        <v>1</v>
      </c>
      <c r="E191" s="37">
        <f>Daily_Plan!B5</f>
        <v>46296</v>
      </c>
      <c r="F191" s="38">
        <f>Tank_Master!$F$10</f>
        <v>180</v>
      </c>
      <c r="G191" s="38">
        <f>Daily_Plan!Z5</f>
        <v>35.120000000000005</v>
      </c>
      <c r="H191" s="38">
        <f>Product_Liftings!E5</f>
        <v>30</v>
      </c>
      <c r="I191" s="39">
        <f t="shared" si="11"/>
        <v>185.12</v>
      </c>
      <c r="J191" s="38">
        <f>Tank_Master!$E$10</f>
        <v>40</v>
      </c>
      <c r="K191" s="38">
        <f>Tank_Master!$D$10</f>
        <v>400</v>
      </c>
      <c r="L191" s="9" t="str">
        <f t="shared" si="12"/>
        <v>OK</v>
      </c>
      <c r="M191" s="40">
        <f t="shared" si="13"/>
        <v>0.46279999999999999</v>
      </c>
    </row>
    <row r="192" spans="1:13" x14ac:dyDescent="0.25">
      <c r="A192" s="9" t="s">
        <v>289</v>
      </c>
      <c r="B192" s="9" t="s">
        <v>247</v>
      </c>
      <c r="C192" s="9" t="s">
        <v>287</v>
      </c>
      <c r="D192" s="9">
        <v>2</v>
      </c>
      <c r="E192" s="37">
        <f>Daily_Plan!B6</f>
        <v>46297</v>
      </c>
      <c r="F192" s="23">
        <f t="shared" ref="F192:F221" si="15">I191</f>
        <v>185.12</v>
      </c>
      <c r="G192" s="38">
        <f>Daily_Plan!Z6</f>
        <v>35.120000000000005</v>
      </c>
      <c r="H192" s="38">
        <f>Product_Liftings!E6</f>
        <v>30</v>
      </c>
      <c r="I192" s="39">
        <f t="shared" si="11"/>
        <v>190.24</v>
      </c>
      <c r="J192" s="38">
        <f>Tank_Master!$E$10</f>
        <v>40</v>
      </c>
      <c r="K192" s="38">
        <f>Tank_Master!$D$10</f>
        <v>400</v>
      </c>
      <c r="L192" s="9" t="str">
        <f t="shared" si="12"/>
        <v>OK</v>
      </c>
      <c r="M192" s="40">
        <f t="shared" si="13"/>
        <v>0.47560000000000002</v>
      </c>
    </row>
    <row r="193" spans="1:13" x14ac:dyDescent="0.25">
      <c r="A193" s="9" t="s">
        <v>289</v>
      </c>
      <c r="B193" s="9" t="s">
        <v>247</v>
      </c>
      <c r="C193" s="9" t="s">
        <v>287</v>
      </c>
      <c r="D193" s="9">
        <v>3</v>
      </c>
      <c r="E193" s="37">
        <f>Daily_Plan!B7</f>
        <v>46298</v>
      </c>
      <c r="F193" s="23">
        <f t="shared" si="15"/>
        <v>190.24</v>
      </c>
      <c r="G193" s="38">
        <f>Daily_Plan!Z7</f>
        <v>36.480000000000004</v>
      </c>
      <c r="H193" s="38">
        <f>Product_Liftings!E7</f>
        <v>30</v>
      </c>
      <c r="I193" s="39">
        <f t="shared" si="11"/>
        <v>196.72000000000003</v>
      </c>
      <c r="J193" s="38">
        <f>Tank_Master!$E$10</f>
        <v>40</v>
      </c>
      <c r="K193" s="38">
        <f>Tank_Master!$D$10</f>
        <v>400</v>
      </c>
      <c r="L193" s="9" t="str">
        <f t="shared" si="12"/>
        <v>OK</v>
      </c>
      <c r="M193" s="40">
        <f t="shared" si="13"/>
        <v>0.49180000000000007</v>
      </c>
    </row>
    <row r="194" spans="1:13" x14ac:dyDescent="0.25">
      <c r="A194" s="9" t="s">
        <v>289</v>
      </c>
      <c r="B194" s="9" t="s">
        <v>247</v>
      </c>
      <c r="C194" s="9" t="s">
        <v>287</v>
      </c>
      <c r="D194" s="9">
        <v>4</v>
      </c>
      <c r="E194" s="37">
        <f>Daily_Plan!B8</f>
        <v>46299</v>
      </c>
      <c r="F194" s="23">
        <f t="shared" si="15"/>
        <v>196.72000000000003</v>
      </c>
      <c r="G194" s="38">
        <f>Daily_Plan!Z8</f>
        <v>33.24</v>
      </c>
      <c r="H194" s="38">
        <f>Product_Liftings!E8</f>
        <v>30</v>
      </c>
      <c r="I194" s="39">
        <f t="shared" si="11"/>
        <v>199.96000000000004</v>
      </c>
      <c r="J194" s="38">
        <f>Tank_Master!$E$10</f>
        <v>40</v>
      </c>
      <c r="K194" s="38">
        <f>Tank_Master!$D$10</f>
        <v>400</v>
      </c>
      <c r="L194" s="9" t="str">
        <f t="shared" si="12"/>
        <v>OK</v>
      </c>
      <c r="M194" s="40">
        <f t="shared" si="13"/>
        <v>0.49990000000000007</v>
      </c>
    </row>
    <row r="195" spans="1:13" x14ac:dyDescent="0.25">
      <c r="A195" s="9" t="s">
        <v>289</v>
      </c>
      <c r="B195" s="9" t="s">
        <v>247</v>
      </c>
      <c r="C195" s="9" t="s">
        <v>287</v>
      </c>
      <c r="D195" s="9">
        <v>5</v>
      </c>
      <c r="E195" s="37">
        <f>Daily_Plan!B9</f>
        <v>46300</v>
      </c>
      <c r="F195" s="23">
        <f t="shared" si="15"/>
        <v>199.96000000000004</v>
      </c>
      <c r="G195" s="38">
        <f>Daily_Plan!Z9</f>
        <v>30.52</v>
      </c>
      <c r="H195" s="38">
        <f>Product_Liftings!E9</f>
        <v>30</v>
      </c>
      <c r="I195" s="39">
        <f t="shared" si="11"/>
        <v>200.48000000000005</v>
      </c>
      <c r="J195" s="38">
        <f>Tank_Master!$E$10</f>
        <v>40</v>
      </c>
      <c r="K195" s="38">
        <f>Tank_Master!$D$10</f>
        <v>400</v>
      </c>
      <c r="L195" s="9" t="str">
        <f t="shared" si="12"/>
        <v>OK</v>
      </c>
      <c r="M195" s="40">
        <f t="shared" si="13"/>
        <v>0.50120000000000009</v>
      </c>
    </row>
    <row r="196" spans="1:13" x14ac:dyDescent="0.25">
      <c r="A196" s="9" t="s">
        <v>289</v>
      </c>
      <c r="B196" s="9" t="s">
        <v>247</v>
      </c>
      <c r="C196" s="9" t="s">
        <v>287</v>
      </c>
      <c r="D196" s="9">
        <v>6</v>
      </c>
      <c r="E196" s="37">
        <f>Daily_Plan!B10</f>
        <v>46301</v>
      </c>
      <c r="F196" s="23">
        <f t="shared" si="15"/>
        <v>200.48000000000005</v>
      </c>
      <c r="G196" s="38">
        <f>Daily_Plan!Z10</f>
        <v>32.400000000000006</v>
      </c>
      <c r="H196" s="38">
        <f>Product_Liftings!E10</f>
        <v>30</v>
      </c>
      <c r="I196" s="39">
        <f t="shared" si="11"/>
        <v>202.88000000000005</v>
      </c>
      <c r="J196" s="38">
        <f>Tank_Master!$E$10</f>
        <v>40</v>
      </c>
      <c r="K196" s="38">
        <f>Tank_Master!$D$10</f>
        <v>400</v>
      </c>
      <c r="L196" s="9" t="str">
        <f t="shared" si="12"/>
        <v>OK</v>
      </c>
      <c r="M196" s="40">
        <f t="shared" si="13"/>
        <v>0.5072000000000001</v>
      </c>
    </row>
    <row r="197" spans="1:13" x14ac:dyDescent="0.25">
      <c r="A197" s="9" t="s">
        <v>289</v>
      </c>
      <c r="B197" s="9" t="s">
        <v>247</v>
      </c>
      <c r="C197" s="9" t="s">
        <v>287</v>
      </c>
      <c r="D197" s="9">
        <v>7</v>
      </c>
      <c r="E197" s="37">
        <f>Daily_Plan!B11</f>
        <v>46302</v>
      </c>
      <c r="F197" s="23">
        <f t="shared" si="15"/>
        <v>202.88000000000005</v>
      </c>
      <c r="G197" s="38">
        <f>Daily_Plan!Z11</f>
        <v>35.120000000000005</v>
      </c>
      <c r="H197" s="38">
        <f>Product_Liftings!E11</f>
        <v>30</v>
      </c>
      <c r="I197" s="39">
        <f t="shared" ref="I197:I260" si="16">F197+G197-H197</f>
        <v>208.00000000000006</v>
      </c>
      <c r="J197" s="38">
        <f>Tank_Master!$E$10</f>
        <v>40</v>
      </c>
      <c r="K197" s="38">
        <f>Tank_Master!$D$10</f>
        <v>400</v>
      </c>
      <c r="L197" s="9" t="str">
        <f t="shared" ref="L197:L260" si="17">IF(I197&lt;J197-0.001,"BELOW MIN",IF(I197&gt;K197+0.001,"ABOVE MAX","OK"))</f>
        <v>OK</v>
      </c>
      <c r="M197" s="40">
        <f t="shared" ref="M197:M260" si="18">IF(K197&gt;0,I197/K197,0)</f>
        <v>0.52000000000000013</v>
      </c>
    </row>
    <row r="198" spans="1:13" x14ac:dyDescent="0.25">
      <c r="A198" s="9" t="s">
        <v>289</v>
      </c>
      <c r="B198" s="9" t="s">
        <v>247</v>
      </c>
      <c r="C198" s="9" t="s">
        <v>287</v>
      </c>
      <c r="D198" s="9">
        <v>8</v>
      </c>
      <c r="E198" s="37">
        <f>Daily_Plan!B12</f>
        <v>46303</v>
      </c>
      <c r="F198" s="23">
        <f t="shared" si="15"/>
        <v>208.00000000000006</v>
      </c>
      <c r="G198" s="38">
        <f>Daily_Plan!Z12</f>
        <v>35.64</v>
      </c>
      <c r="H198" s="38">
        <f>Product_Liftings!E12</f>
        <v>30</v>
      </c>
      <c r="I198" s="39">
        <f t="shared" si="16"/>
        <v>213.64000000000004</v>
      </c>
      <c r="J198" s="38">
        <f>Tank_Master!$E$10</f>
        <v>40</v>
      </c>
      <c r="K198" s="38">
        <f>Tank_Master!$D$10</f>
        <v>400</v>
      </c>
      <c r="L198" s="9" t="str">
        <f t="shared" si="17"/>
        <v>OK</v>
      </c>
      <c r="M198" s="40">
        <f t="shared" si="18"/>
        <v>0.53410000000000013</v>
      </c>
    </row>
    <row r="199" spans="1:13" x14ac:dyDescent="0.25">
      <c r="A199" s="9" t="s">
        <v>289</v>
      </c>
      <c r="B199" s="9" t="s">
        <v>247</v>
      </c>
      <c r="C199" s="9" t="s">
        <v>287</v>
      </c>
      <c r="D199" s="9">
        <v>9</v>
      </c>
      <c r="E199" s="37">
        <f>Daily_Plan!B13</f>
        <v>46304</v>
      </c>
      <c r="F199" s="23">
        <f t="shared" si="15"/>
        <v>213.64000000000004</v>
      </c>
      <c r="G199" s="38">
        <f>Daily_Plan!Z13</f>
        <v>36.480000000000004</v>
      </c>
      <c r="H199" s="38">
        <f>Product_Liftings!E13</f>
        <v>30</v>
      </c>
      <c r="I199" s="39">
        <f t="shared" si="16"/>
        <v>220.12000000000006</v>
      </c>
      <c r="J199" s="38">
        <f>Tank_Master!$E$10</f>
        <v>40</v>
      </c>
      <c r="K199" s="38">
        <f>Tank_Master!$D$10</f>
        <v>400</v>
      </c>
      <c r="L199" s="9" t="str">
        <f t="shared" si="17"/>
        <v>OK</v>
      </c>
      <c r="M199" s="40">
        <f t="shared" si="18"/>
        <v>0.55030000000000012</v>
      </c>
    </row>
    <row r="200" spans="1:13" x14ac:dyDescent="0.25">
      <c r="A200" s="9" t="s">
        <v>289</v>
      </c>
      <c r="B200" s="9" t="s">
        <v>247</v>
      </c>
      <c r="C200" s="9" t="s">
        <v>287</v>
      </c>
      <c r="D200" s="9">
        <v>10</v>
      </c>
      <c r="E200" s="37">
        <f>Daily_Plan!B14</f>
        <v>46305</v>
      </c>
      <c r="F200" s="23">
        <f t="shared" si="15"/>
        <v>220.12000000000006</v>
      </c>
      <c r="G200" s="38">
        <f>Daily_Plan!Z14</f>
        <v>35.120000000000005</v>
      </c>
      <c r="H200" s="38">
        <f>Product_Liftings!E14</f>
        <v>30</v>
      </c>
      <c r="I200" s="39">
        <f t="shared" si="16"/>
        <v>225.24000000000007</v>
      </c>
      <c r="J200" s="38">
        <f>Tank_Master!$E$10</f>
        <v>40</v>
      </c>
      <c r="K200" s="38">
        <f>Tank_Master!$D$10</f>
        <v>400</v>
      </c>
      <c r="L200" s="9" t="str">
        <f t="shared" si="17"/>
        <v>OK</v>
      </c>
      <c r="M200" s="40">
        <f t="shared" si="18"/>
        <v>0.56310000000000016</v>
      </c>
    </row>
    <row r="201" spans="1:13" x14ac:dyDescent="0.25">
      <c r="A201" s="9" t="s">
        <v>289</v>
      </c>
      <c r="B201" s="9" t="s">
        <v>247</v>
      </c>
      <c r="C201" s="9" t="s">
        <v>287</v>
      </c>
      <c r="D201" s="9">
        <v>11</v>
      </c>
      <c r="E201" s="37">
        <f>Daily_Plan!B15</f>
        <v>46306</v>
      </c>
      <c r="F201" s="23">
        <f t="shared" si="15"/>
        <v>225.24000000000007</v>
      </c>
      <c r="G201" s="38">
        <f>Daily_Plan!Z15</f>
        <v>35.120000000000005</v>
      </c>
      <c r="H201" s="38">
        <f>Product_Liftings!E15</f>
        <v>30</v>
      </c>
      <c r="I201" s="39">
        <f t="shared" si="16"/>
        <v>230.36000000000007</v>
      </c>
      <c r="J201" s="38">
        <f>Tank_Master!$E$10</f>
        <v>40</v>
      </c>
      <c r="K201" s="38">
        <f>Tank_Master!$D$10</f>
        <v>400</v>
      </c>
      <c r="L201" s="9" t="str">
        <f t="shared" si="17"/>
        <v>OK</v>
      </c>
      <c r="M201" s="40">
        <f t="shared" si="18"/>
        <v>0.57590000000000019</v>
      </c>
    </row>
    <row r="202" spans="1:13" x14ac:dyDescent="0.25">
      <c r="A202" s="9" t="s">
        <v>289</v>
      </c>
      <c r="B202" s="9" t="s">
        <v>247</v>
      </c>
      <c r="C202" s="9" t="s">
        <v>287</v>
      </c>
      <c r="D202" s="9">
        <v>12</v>
      </c>
      <c r="E202" s="37">
        <f>Daily_Plan!B16</f>
        <v>46307</v>
      </c>
      <c r="F202" s="23">
        <f t="shared" si="15"/>
        <v>230.36000000000007</v>
      </c>
      <c r="G202" s="38">
        <f>Daily_Plan!Z16</f>
        <v>35.120000000000005</v>
      </c>
      <c r="H202" s="38">
        <f>Product_Liftings!E16</f>
        <v>110</v>
      </c>
      <c r="I202" s="39">
        <f t="shared" si="16"/>
        <v>155.48000000000008</v>
      </c>
      <c r="J202" s="38">
        <f>Tank_Master!$E$10</f>
        <v>40</v>
      </c>
      <c r="K202" s="38">
        <f>Tank_Master!$D$10</f>
        <v>400</v>
      </c>
      <c r="L202" s="9" t="str">
        <f t="shared" si="17"/>
        <v>OK</v>
      </c>
      <c r="M202" s="40">
        <f t="shared" si="18"/>
        <v>0.38870000000000021</v>
      </c>
    </row>
    <row r="203" spans="1:13" x14ac:dyDescent="0.25">
      <c r="A203" s="9" t="s">
        <v>289</v>
      </c>
      <c r="B203" s="9" t="s">
        <v>247</v>
      </c>
      <c r="C203" s="9" t="s">
        <v>287</v>
      </c>
      <c r="D203" s="9">
        <v>13</v>
      </c>
      <c r="E203" s="37">
        <f>Daily_Plan!B17</f>
        <v>46308</v>
      </c>
      <c r="F203" s="23">
        <f t="shared" si="15"/>
        <v>155.48000000000008</v>
      </c>
      <c r="G203" s="38">
        <f>Daily_Plan!Z17</f>
        <v>35.120000000000005</v>
      </c>
      <c r="H203" s="38">
        <f>Product_Liftings!E17</f>
        <v>30</v>
      </c>
      <c r="I203" s="39">
        <f t="shared" si="16"/>
        <v>160.60000000000008</v>
      </c>
      <c r="J203" s="38">
        <f>Tank_Master!$E$10</f>
        <v>40</v>
      </c>
      <c r="K203" s="38">
        <f>Tank_Master!$D$10</f>
        <v>400</v>
      </c>
      <c r="L203" s="9" t="str">
        <f t="shared" si="17"/>
        <v>OK</v>
      </c>
      <c r="M203" s="40">
        <f t="shared" si="18"/>
        <v>0.40150000000000019</v>
      </c>
    </row>
    <row r="204" spans="1:13" x14ac:dyDescent="0.25">
      <c r="A204" s="9" t="s">
        <v>289</v>
      </c>
      <c r="B204" s="9" t="s">
        <v>247</v>
      </c>
      <c r="C204" s="9" t="s">
        <v>287</v>
      </c>
      <c r="D204" s="9">
        <v>14</v>
      </c>
      <c r="E204" s="37">
        <f>Daily_Plan!B18</f>
        <v>46309</v>
      </c>
      <c r="F204" s="23">
        <f t="shared" si="15"/>
        <v>160.60000000000008</v>
      </c>
      <c r="G204" s="38">
        <f>Daily_Plan!Z18</f>
        <v>35.120000000000005</v>
      </c>
      <c r="H204" s="38">
        <f>Product_Liftings!E18</f>
        <v>30</v>
      </c>
      <c r="I204" s="39">
        <f t="shared" si="16"/>
        <v>165.72000000000008</v>
      </c>
      <c r="J204" s="38">
        <f>Tank_Master!$E$10</f>
        <v>40</v>
      </c>
      <c r="K204" s="38">
        <f>Tank_Master!$D$10</f>
        <v>400</v>
      </c>
      <c r="L204" s="9" t="str">
        <f t="shared" si="17"/>
        <v>OK</v>
      </c>
      <c r="M204" s="40">
        <f t="shared" si="18"/>
        <v>0.41430000000000022</v>
      </c>
    </row>
    <row r="205" spans="1:13" x14ac:dyDescent="0.25">
      <c r="A205" s="9" t="s">
        <v>289</v>
      </c>
      <c r="B205" s="9" t="s">
        <v>247</v>
      </c>
      <c r="C205" s="9" t="s">
        <v>287</v>
      </c>
      <c r="D205" s="9">
        <v>15</v>
      </c>
      <c r="E205" s="37">
        <f>Daily_Plan!B19</f>
        <v>46310</v>
      </c>
      <c r="F205" s="23">
        <f t="shared" si="15"/>
        <v>165.72000000000008</v>
      </c>
      <c r="G205" s="38">
        <f>Daily_Plan!Z19</f>
        <v>35.120000000000005</v>
      </c>
      <c r="H205" s="38">
        <f>Product_Liftings!E19</f>
        <v>30</v>
      </c>
      <c r="I205" s="39">
        <f t="shared" si="16"/>
        <v>170.84000000000009</v>
      </c>
      <c r="J205" s="38">
        <f>Tank_Master!$E$10</f>
        <v>40</v>
      </c>
      <c r="K205" s="38">
        <f>Tank_Master!$D$10</f>
        <v>400</v>
      </c>
      <c r="L205" s="9" t="str">
        <f t="shared" si="17"/>
        <v>OK</v>
      </c>
      <c r="M205" s="40">
        <f t="shared" si="18"/>
        <v>0.4271000000000002</v>
      </c>
    </row>
    <row r="206" spans="1:13" x14ac:dyDescent="0.25">
      <c r="A206" s="9" t="s">
        <v>289</v>
      </c>
      <c r="B206" s="9" t="s">
        <v>247</v>
      </c>
      <c r="C206" s="9" t="s">
        <v>287</v>
      </c>
      <c r="D206" s="9">
        <v>16</v>
      </c>
      <c r="E206" s="37">
        <f>Daily_Plan!B20</f>
        <v>46311</v>
      </c>
      <c r="F206" s="23">
        <f t="shared" si="15"/>
        <v>170.84000000000009</v>
      </c>
      <c r="G206" s="38">
        <f>Daily_Plan!Z20</f>
        <v>35.120000000000005</v>
      </c>
      <c r="H206" s="38">
        <f>Product_Liftings!E20</f>
        <v>30</v>
      </c>
      <c r="I206" s="39">
        <f t="shared" si="16"/>
        <v>175.96000000000009</v>
      </c>
      <c r="J206" s="38">
        <f>Tank_Master!$E$10</f>
        <v>40</v>
      </c>
      <c r="K206" s="38">
        <f>Tank_Master!$D$10</f>
        <v>400</v>
      </c>
      <c r="L206" s="9" t="str">
        <f t="shared" si="17"/>
        <v>OK</v>
      </c>
      <c r="M206" s="40">
        <f t="shared" si="18"/>
        <v>0.43990000000000024</v>
      </c>
    </row>
    <row r="207" spans="1:13" x14ac:dyDescent="0.25">
      <c r="A207" s="9" t="s">
        <v>289</v>
      </c>
      <c r="B207" s="9" t="s">
        <v>247</v>
      </c>
      <c r="C207" s="9" t="s">
        <v>287</v>
      </c>
      <c r="D207" s="9">
        <v>17</v>
      </c>
      <c r="E207" s="37">
        <f>Daily_Plan!B21</f>
        <v>46312</v>
      </c>
      <c r="F207" s="23">
        <f t="shared" si="15"/>
        <v>175.96000000000009</v>
      </c>
      <c r="G207" s="38">
        <f>Daily_Plan!Z21</f>
        <v>35.120000000000005</v>
      </c>
      <c r="H207" s="38">
        <f>Product_Liftings!E21</f>
        <v>30</v>
      </c>
      <c r="I207" s="39">
        <f t="shared" si="16"/>
        <v>181.0800000000001</v>
      </c>
      <c r="J207" s="38">
        <f>Tank_Master!$E$10</f>
        <v>40</v>
      </c>
      <c r="K207" s="38">
        <f>Tank_Master!$D$10</f>
        <v>400</v>
      </c>
      <c r="L207" s="9" t="str">
        <f t="shared" si="17"/>
        <v>OK</v>
      </c>
      <c r="M207" s="40">
        <f t="shared" si="18"/>
        <v>0.45270000000000027</v>
      </c>
    </row>
    <row r="208" spans="1:13" x14ac:dyDescent="0.25">
      <c r="A208" s="9" t="s">
        <v>289</v>
      </c>
      <c r="B208" s="9" t="s">
        <v>247</v>
      </c>
      <c r="C208" s="9" t="s">
        <v>287</v>
      </c>
      <c r="D208" s="9">
        <v>18</v>
      </c>
      <c r="E208" s="37">
        <f>Daily_Plan!B22</f>
        <v>46313</v>
      </c>
      <c r="F208" s="23">
        <f t="shared" si="15"/>
        <v>181.0800000000001</v>
      </c>
      <c r="G208" s="38">
        <f>Daily_Plan!Z22</f>
        <v>35.120000000000005</v>
      </c>
      <c r="H208" s="38">
        <f>Product_Liftings!E22</f>
        <v>30</v>
      </c>
      <c r="I208" s="39">
        <f t="shared" si="16"/>
        <v>186.2000000000001</v>
      </c>
      <c r="J208" s="38">
        <f>Tank_Master!$E$10</f>
        <v>40</v>
      </c>
      <c r="K208" s="38">
        <f>Tank_Master!$D$10</f>
        <v>400</v>
      </c>
      <c r="L208" s="9" t="str">
        <f t="shared" si="17"/>
        <v>OK</v>
      </c>
      <c r="M208" s="40">
        <f t="shared" si="18"/>
        <v>0.46550000000000025</v>
      </c>
    </row>
    <row r="209" spans="1:13" x14ac:dyDescent="0.25">
      <c r="A209" s="9" t="s">
        <v>289</v>
      </c>
      <c r="B209" s="9" t="s">
        <v>247</v>
      </c>
      <c r="C209" s="9" t="s">
        <v>287</v>
      </c>
      <c r="D209" s="9">
        <v>19</v>
      </c>
      <c r="E209" s="37">
        <f>Daily_Plan!B23</f>
        <v>46314</v>
      </c>
      <c r="F209" s="23">
        <f t="shared" si="15"/>
        <v>186.2000000000001</v>
      </c>
      <c r="G209" s="38">
        <f>Daily_Plan!Z23</f>
        <v>35.120000000000005</v>
      </c>
      <c r="H209" s="38">
        <f>Product_Liftings!E23</f>
        <v>30</v>
      </c>
      <c r="I209" s="39">
        <f t="shared" si="16"/>
        <v>191.32000000000011</v>
      </c>
      <c r="J209" s="38">
        <f>Tank_Master!$E$10</f>
        <v>40</v>
      </c>
      <c r="K209" s="38">
        <f>Tank_Master!$D$10</f>
        <v>400</v>
      </c>
      <c r="L209" s="9" t="str">
        <f t="shared" si="17"/>
        <v>OK</v>
      </c>
      <c r="M209" s="40">
        <f t="shared" si="18"/>
        <v>0.47830000000000028</v>
      </c>
    </row>
    <row r="210" spans="1:13" x14ac:dyDescent="0.25">
      <c r="A210" s="9" t="s">
        <v>289</v>
      </c>
      <c r="B210" s="9" t="s">
        <v>247</v>
      </c>
      <c r="C210" s="9" t="s">
        <v>287</v>
      </c>
      <c r="D210" s="9">
        <v>20</v>
      </c>
      <c r="E210" s="37">
        <f>Daily_Plan!B24</f>
        <v>46315</v>
      </c>
      <c r="F210" s="23">
        <f t="shared" si="15"/>
        <v>191.32000000000011</v>
      </c>
      <c r="G210" s="38">
        <f>Daily_Plan!Z24</f>
        <v>35.120000000000005</v>
      </c>
      <c r="H210" s="38">
        <f>Product_Liftings!E24</f>
        <v>30</v>
      </c>
      <c r="I210" s="39">
        <f t="shared" si="16"/>
        <v>196.44000000000011</v>
      </c>
      <c r="J210" s="38">
        <f>Tank_Master!$E$10</f>
        <v>40</v>
      </c>
      <c r="K210" s="38">
        <f>Tank_Master!$D$10</f>
        <v>400</v>
      </c>
      <c r="L210" s="9" t="str">
        <f t="shared" si="17"/>
        <v>OK</v>
      </c>
      <c r="M210" s="40">
        <f t="shared" si="18"/>
        <v>0.49110000000000026</v>
      </c>
    </row>
    <row r="211" spans="1:13" x14ac:dyDescent="0.25">
      <c r="A211" s="9" t="s">
        <v>289</v>
      </c>
      <c r="B211" s="9" t="s">
        <v>247</v>
      </c>
      <c r="C211" s="9" t="s">
        <v>287</v>
      </c>
      <c r="D211" s="9">
        <v>21</v>
      </c>
      <c r="E211" s="37">
        <f>Daily_Plan!B25</f>
        <v>46316</v>
      </c>
      <c r="F211" s="23">
        <f t="shared" si="15"/>
        <v>196.44000000000011</v>
      </c>
      <c r="G211" s="38">
        <f>Daily_Plan!Z25</f>
        <v>35.120000000000005</v>
      </c>
      <c r="H211" s="38">
        <f>Product_Liftings!E25</f>
        <v>30</v>
      </c>
      <c r="I211" s="39">
        <f t="shared" si="16"/>
        <v>201.56000000000012</v>
      </c>
      <c r="J211" s="38">
        <f>Tank_Master!$E$10</f>
        <v>40</v>
      </c>
      <c r="K211" s="38">
        <f>Tank_Master!$D$10</f>
        <v>400</v>
      </c>
      <c r="L211" s="9" t="str">
        <f t="shared" si="17"/>
        <v>OK</v>
      </c>
      <c r="M211" s="40">
        <f t="shared" si="18"/>
        <v>0.50390000000000024</v>
      </c>
    </row>
    <row r="212" spans="1:13" x14ac:dyDescent="0.25">
      <c r="A212" s="9" t="s">
        <v>289</v>
      </c>
      <c r="B212" s="9" t="s">
        <v>247</v>
      </c>
      <c r="C212" s="9" t="s">
        <v>287</v>
      </c>
      <c r="D212" s="9">
        <v>22</v>
      </c>
      <c r="E212" s="37">
        <f>Daily_Plan!B26</f>
        <v>46317</v>
      </c>
      <c r="F212" s="23">
        <f t="shared" si="15"/>
        <v>201.56000000000012</v>
      </c>
      <c r="G212" s="38">
        <f>Daily_Plan!Z26</f>
        <v>35.120000000000005</v>
      </c>
      <c r="H212" s="38">
        <f>Product_Liftings!E26</f>
        <v>30</v>
      </c>
      <c r="I212" s="39">
        <f t="shared" si="16"/>
        <v>206.68000000000012</v>
      </c>
      <c r="J212" s="38">
        <f>Tank_Master!$E$10</f>
        <v>40</v>
      </c>
      <c r="K212" s="38">
        <f>Tank_Master!$D$10</f>
        <v>400</v>
      </c>
      <c r="L212" s="9" t="str">
        <f t="shared" si="17"/>
        <v>OK</v>
      </c>
      <c r="M212" s="40">
        <f t="shared" si="18"/>
        <v>0.51670000000000027</v>
      </c>
    </row>
    <row r="213" spans="1:13" x14ac:dyDescent="0.25">
      <c r="A213" s="9" t="s">
        <v>289</v>
      </c>
      <c r="B213" s="9" t="s">
        <v>247</v>
      </c>
      <c r="C213" s="9" t="s">
        <v>287</v>
      </c>
      <c r="D213" s="9">
        <v>23</v>
      </c>
      <c r="E213" s="37">
        <f>Daily_Plan!B27</f>
        <v>46318</v>
      </c>
      <c r="F213" s="23">
        <f t="shared" si="15"/>
        <v>206.68000000000012</v>
      </c>
      <c r="G213" s="38">
        <f>Daily_Plan!Z27</f>
        <v>35.120000000000005</v>
      </c>
      <c r="H213" s="38">
        <f>Product_Liftings!E27</f>
        <v>30</v>
      </c>
      <c r="I213" s="39">
        <f t="shared" si="16"/>
        <v>211.80000000000013</v>
      </c>
      <c r="J213" s="38">
        <f>Tank_Master!$E$10</f>
        <v>40</v>
      </c>
      <c r="K213" s="38">
        <f>Tank_Master!$D$10</f>
        <v>400</v>
      </c>
      <c r="L213" s="9" t="str">
        <f t="shared" si="17"/>
        <v>OK</v>
      </c>
      <c r="M213" s="40">
        <f t="shared" si="18"/>
        <v>0.5295000000000003</v>
      </c>
    </row>
    <row r="214" spans="1:13" x14ac:dyDescent="0.25">
      <c r="A214" s="9" t="s">
        <v>289</v>
      </c>
      <c r="B214" s="9" t="s">
        <v>247</v>
      </c>
      <c r="C214" s="9" t="s">
        <v>287</v>
      </c>
      <c r="D214" s="9">
        <v>24</v>
      </c>
      <c r="E214" s="37">
        <f>Daily_Plan!B28</f>
        <v>46319</v>
      </c>
      <c r="F214" s="23">
        <f t="shared" si="15"/>
        <v>211.80000000000013</v>
      </c>
      <c r="G214" s="38">
        <f>Daily_Plan!Z28</f>
        <v>35.120000000000005</v>
      </c>
      <c r="H214" s="38">
        <f>Product_Liftings!E28</f>
        <v>30</v>
      </c>
      <c r="I214" s="39">
        <f t="shared" si="16"/>
        <v>216.92000000000013</v>
      </c>
      <c r="J214" s="38">
        <f>Tank_Master!$E$10</f>
        <v>40</v>
      </c>
      <c r="K214" s="38">
        <f>Tank_Master!$D$10</f>
        <v>400</v>
      </c>
      <c r="L214" s="9" t="str">
        <f t="shared" si="17"/>
        <v>OK</v>
      </c>
      <c r="M214" s="40">
        <f t="shared" si="18"/>
        <v>0.54230000000000034</v>
      </c>
    </row>
    <row r="215" spans="1:13" x14ac:dyDescent="0.25">
      <c r="A215" s="9" t="s">
        <v>289</v>
      </c>
      <c r="B215" s="9" t="s">
        <v>247</v>
      </c>
      <c r="C215" s="9" t="s">
        <v>287</v>
      </c>
      <c r="D215" s="9">
        <v>25</v>
      </c>
      <c r="E215" s="37">
        <f>Daily_Plan!B29</f>
        <v>46320</v>
      </c>
      <c r="F215" s="23">
        <f t="shared" si="15"/>
        <v>216.92000000000013</v>
      </c>
      <c r="G215" s="38">
        <f>Daily_Plan!Z29</f>
        <v>35.120000000000005</v>
      </c>
      <c r="H215" s="38">
        <f>Product_Liftings!E29</f>
        <v>30</v>
      </c>
      <c r="I215" s="39">
        <f t="shared" si="16"/>
        <v>222.04000000000013</v>
      </c>
      <c r="J215" s="38">
        <f>Tank_Master!$E$10</f>
        <v>40</v>
      </c>
      <c r="K215" s="38">
        <f>Tank_Master!$D$10</f>
        <v>400</v>
      </c>
      <c r="L215" s="9" t="str">
        <f t="shared" si="17"/>
        <v>OK</v>
      </c>
      <c r="M215" s="40">
        <f t="shared" si="18"/>
        <v>0.55510000000000037</v>
      </c>
    </row>
    <row r="216" spans="1:13" x14ac:dyDescent="0.25">
      <c r="A216" s="9" t="s">
        <v>289</v>
      </c>
      <c r="B216" s="9" t="s">
        <v>247</v>
      </c>
      <c r="C216" s="9" t="s">
        <v>287</v>
      </c>
      <c r="D216" s="9">
        <v>26</v>
      </c>
      <c r="E216" s="37">
        <f>Daily_Plan!B30</f>
        <v>46321</v>
      </c>
      <c r="F216" s="23">
        <f t="shared" si="15"/>
        <v>222.04000000000013</v>
      </c>
      <c r="G216" s="38">
        <f>Daily_Plan!Z30</f>
        <v>35.120000000000005</v>
      </c>
      <c r="H216" s="38">
        <f>Product_Liftings!E30</f>
        <v>110</v>
      </c>
      <c r="I216" s="39">
        <f t="shared" si="16"/>
        <v>147.16000000000014</v>
      </c>
      <c r="J216" s="38">
        <f>Tank_Master!$E$10</f>
        <v>40</v>
      </c>
      <c r="K216" s="38">
        <f>Tank_Master!$D$10</f>
        <v>400</v>
      </c>
      <c r="L216" s="9" t="str">
        <f t="shared" si="17"/>
        <v>OK</v>
      </c>
      <c r="M216" s="40">
        <f t="shared" si="18"/>
        <v>0.36790000000000034</v>
      </c>
    </row>
    <row r="217" spans="1:13" x14ac:dyDescent="0.25">
      <c r="A217" s="9" t="s">
        <v>289</v>
      </c>
      <c r="B217" s="9" t="s">
        <v>247</v>
      </c>
      <c r="C217" s="9" t="s">
        <v>287</v>
      </c>
      <c r="D217" s="9">
        <v>27</v>
      </c>
      <c r="E217" s="37">
        <f>Daily_Plan!B31</f>
        <v>46322</v>
      </c>
      <c r="F217" s="23">
        <f t="shared" si="15"/>
        <v>147.16000000000014</v>
      </c>
      <c r="G217" s="38">
        <f>Daily_Plan!Z31</f>
        <v>35.120000000000005</v>
      </c>
      <c r="H217" s="38">
        <f>Product_Liftings!E31</f>
        <v>30</v>
      </c>
      <c r="I217" s="39">
        <f t="shared" si="16"/>
        <v>152.28000000000014</v>
      </c>
      <c r="J217" s="38">
        <f>Tank_Master!$E$10</f>
        <v>40</v>
      </c>
      <c r="K217" s="38">
        <f>Tank_Master!$D$10</f>
        <v>400</v>
      </c>
      <c r="L217" s="9" t="str">
        <f t="shared" si="17"/>
        <v>OK</v>
      </c>
      <c r="M217" s="40">
        <f t="shared" si="18"/>
        <v>0.38070000000000037</v>
      </c>
    </row>
    <row r="218" spans="1:13" x14ac:dyDescent="0.25">
      <c r="A218" s="9" t="s">
        <v>289</v>
      </c>
      <c r="B218" s="9" t="s">
        <v>247</v>
      </c>
      <c r="C218" s="9" t="s">
        <v>287</v>
      </c>
      <c r="D218" s="9">
        <v>28</v>
      </c>
      <c r="E218" s="37">
        <f>Daily_Plan!B32</f>
        <v>46323</v>
      </c>
      <c r="F218" s="23">
        <f t="shared" si="15"/>
        <v>152.28000000000014</v>
      </c>
      <c r="G218" s="38">
        <f>Daily_Plan!Z32</f>
        <v>35.120000000000005</v>
      </c>
      <c r="H218" s="38">
        <f>Product_Liftings!E32</f>
        <v>30</v>
      </c>
      <c r="I218" s="39">
        <f t="shared" si="16"/>
        <v>157.40000000000015</v>
      </c>
      <c r="J218" s="38">
        <f>Tank_Master!$E$10</f>
        <v>40</v>
      </c>
      <c r="K218" s="38">
        <f>Tank_Master!$D$10</f>
        <v>400</v>
      </c>
      <c r="L218" s="9" t="str">
        <f t="shared" si="17"/>
        <v>OK</v>
      </c>
      <c r="M218" s="40">
        <f t="shared" si="18"/>
        <v>0.39350000000000035</v>
      </c>
    </row>
    <row r="219" spans="1:13" x14ac:dyDescent="0.25">
      <c r="A219" s="9" t="s">
        <v>289</v>
      </c>
      <c r="B219" s="9" t="s">
        <v>247</v>
      </c>
      <c r="C219" s="9" t="s">
        <v>287</v>
      </c>
      <c r="D219" s="9">
        <v>29</v>
      </c>
      <c r="E219" s="37">
        <f>Daily_Plan!B33</f>
        <v>46324</v>
      </c>
      <c r="F219" s="23">
        <f t="shared" si="15"/>
        <v>157.40000000000015</v>
      </c>
      <c r="G219" s="38">
        <f>Daily_Plan!Z33</f>
        <v>35.120000000000005</v>
      </c>
      <c r="H219" s="38">
        <f>Product_Liftings!E33</f>
        <v>30</v>
      </c>
      <c r="I219" s="39">
        <f t="shared" si="16"/>
        <v>162.52000000000015</v>
      </c>
      <c r="J219" s="38">
        <f>Tank_Master!$E$10</f>
        <v>40</v>
      </c>
      <c r="K219" s="38">
        <f>Tank_Master!$D$10</f>
        <v>400</v>
      </c>
      <c r="L219" s="9" t="str">
        <f t="shared" si="17"/>
        <v>OK</v>
      </c>
      <c r="M219" s="40">
        <f t="shared" si="18"/>
        <v>0.40630000000000038</v>
      </c>
    </row>
    <row r="220" spans="1:13" x14ac:dyDescent="0.25">
      <c r="A220" s="9" t="s">
        <v>289</v>
      </c>
      <c r="B220" s="9" t="s">
        <v>247</v>
      </c>
      <c r="C220" s="9" t="s">
        <v>287</v>
      </c>
      <c r="D220" s="9">
        <v>30</v>
      </c>
      <c r="E220" s="37">
        <f>Daily_Plan!B34</f>
        <v>46325</v>
      </c>
      <c r="F220" s="23">
        <f t="shared" si="15"/>
        <v>162.52000000000015</v>
      </c>
      <c r="G220" s="38">
        <f>Daily_Plan!Z34</f>
        <v>35.120000000000005</v>
      </c>
      <c r="H220" s="38">
        <f>Product_Liftings!E34</f>
        <v>30</v>
      </c>
      <c r="I220" s="39">
        <f t="shared" si="16"/>
        <v>167.64000000000016</v>
      </c>
      <c r="J220" s="38">
        <f>Tank_Master!$E$10</f>
        <v>40</v>
      </c>
      <c r="K220" s="38">
        <f>Tank_Master!$D$10</f>
        <v>400</v>
      </c>
      <c r="L220" s="9" t="str">
        <f t="shared" si="17"/>
        <v>OK</v>
      </c>
      <c r="M220" s="40">
        <f t="shared" si="18"/>
        <v>0.41910000000000042</v>
      </c>
    </row>
    <row r="221" spans="1:13" x14ac:dyDescent="0.25">
      <c r="A221" s="9" t="s">
        <v>289</v>
      </c>
      <c r="B221" s="9" t="s">
        <v>247</v>
      </c>
      <c r="C221" s="9" t="s">
        <v>287</v>
      </c>
      <c r="D221" s="9">
        <v>31</v>
      </c>
      <c r="E221" s="37">
        <f>Daily_Plan!B35</f>
        <v>46326</v>
      </c>
      <c r="F221" s="23">
        <f t="shared" si="15"/>
        <v>167.64000000000016</v>
      </c>
      <c r="G221" s="38">
        <f>Daily_Plan!Z35</f>
        <v>35.120000000000005</v>
      </c>
      <c r="H221" s="38">
        <f>Product_Liftings!E35</f>
        <v>30</v>
      </c>
      <c r="I221" s="39">
        <f t="shared" si="16"/>
        <v>172.76000000000016</v>
      </c>
      <c r="J221" s="38">
        <f>Tank_Master!$E$10</f>
        <v>40</v>
      </c>
      <c r="K221" s="38">
        <f>Tank_Master!$D$10</f>
        <v>400</v>
      </c>
      <c r="L221" s="9" t="str">
        <f t="shared" si="17"/>
        <v>OK</v>
      </c>
      <c r="M221" s="40">
        <f t="shared" si="18"/>
        <v>0.43190000000000039</v>
      </c>
    </row>
    <row r="222" spans="1:13" x14ac:dyDescent="0.25">
      <c r="A222" s="9" t="s">
        <v>290</v>
      </c>
      <c r="B222" s="9" t="s">
        <v>248</v>
      </c>
      <c r="C222" s="9" t="s">
        <v>287</v>
      </c>
      <c r="D222" s="9">
        <v>1</v>
      </c>
      <c r="E222" s="37">
        <f>Daily_Plan!B5</f>
        <v>46296</v>
      </c>
      <c r="F222" s="38">
        <f>Tank_Master!$F$11</f>
        <v>140</v>
      </c>
      <c r="G222" s="38">
        <f>Daily_Plan!AA5</f>
        <v>23.3</v>
      </c>
      <c r="H222" s="38">
        <f>Product_Liftings!F5</f>
        <v>18</v>
      </c>
      <c r="I222" s="39">
        <f t="shared" si="16"/>
        <v>145.30000000000001</v>
      </c>
      <c r="J222" s="38">
        <f>Tank_Master!$E$11</f>
        <v>30</v>
      </c>
      <c r="K222" s="38">
        <f>Tank_Master!$D$11</f>
        <v>300</v>
      </c>
      <c r="L222" s="9" t="str">
        <f t="shared" si="17"/>
        <v>OK</v>
      </c>
      <c r="M222" s="40">
        <f t="shared" si="18"/>
        <v>0.48433333333333339</v>
      </c>
    </row>
    <row r="223" spans="1:13" x14ac:dyDescent="0.25">
      <c r="A223" s="9" t="s">
        <v>290</v>
      </c>
      <c r="B223" s="9" t="s">
        <v>248</v>
      </c>
      <c r="C223" s="9" t="s">
        <v>287</v>
      </c>
      <c r="D223" s="9">
        <v>2</v>
      </c>
      <c r="E223" s="37">
        <f>Daily_Plan!B6</f>
        <v>46297</v>
      </c>
      <c r="F223" s="23">
        <f t="shared" ref="F223:F252" si="19">I222</f>
        <v>145.30000000000001</v>
      </c>
      <c r="G223" s="38">
        <f>Daily_Plan!AA6</f>
        <v>23.3</v>
      </c>
      <c r="H223" s="38">
        <f>Product_Liftings!F6</f>
        <v>18</v>
      </c>
      <c r="I223" s="39">
        <f t="shared" si="16"/>
        <v>150.60000000000002</v>
      </c>
      <c r="J223" s="38">
        <f>Tank_Master!$E$11</f>
        <v>30</v>
      </c>
      <c r="K223" s="38">
        <f>Tank_Master!$D$11</f>
        <v>300</v>
      </c>
      <c r="L223" s="9" t="str">
        <f t="shared" si="17"/>
        <v>OK</v>
      </c>
      <c r="M223" s="40">
        <f t="shared" si="18"/>
        <v>0.50200000000000011</v>
      </c>
    </row>
    <row r="224" spans="1:13" x14ac:dyDescent="0.25">
      <c r="A224" s="9" t="s">
        <v>290</v>
      </c>
      <c r="B224" s="9" t="s">
        <v>248</v>
      </c>
      <c r="C224" s="9" t="s">
        <v>287</v>
      </c>
      <c r="D224" s="9">
        <v>3</v>
      </c>
      <c r="E224" s="37">
        <f>Daily_Plan!B7</f>
        <v>46298</v>
      </c>
      <c r="F224" s="23">
        <f t="shared" si="19"/>
        <v>150.60000000000002</v>
      </c>
      <c r="G224" s="38">
        <f>Daily_Plan!AA7</f>
        <v>23.29</v>
      </c>
      <c r="H224" s="38">
        <f>Product_Liftings!F7</f>
        <v>18</v>
      </c>
      <c r="I224" s="39">
        <f t="shared" si="16"/>
        <v>155.89000000000001</v>
      </c>
      <c r="J224" s="38">
        <f>Tank_Master!$E$11</f>
        <v>30</v>
      </c>
      <c r="K224" s="38">
        <f>Tank_Master!$D$11</f>
        <v>300</v>
      </c>
      <c r="L224" s="9" t="str">
        <f t="shared" si="17"/>
        <v>OK</v>
      </c>
      <c r="M224" s="40">
        <f t="shared" si="18"/>
        <v>0.51963333333333339</v>
      </c>
    </row>
    <row r="225" spans="1:13" x14ac:dyDescent="0.25">
      <c r="A225" s="9" t="s">
        <v>290</v>
      </c>
      <c r="B225" s="9" t="s">
        <v>248</v>
      </c>
      <c r="C225" s="9" t="s">
        <v>287</v>
      </c>
      <c r="D225" s="9">
        <v>4</v>
      </c>
      <c r="E225" s="37">
        <f>Daily_Plan!B8</f>
        <v>46299</v>
      </c>
      <c r="F225" s="23">
        <f t="shared" si="19"/>
        <v>155.89000000000001</v>
      </c>
      <c r="G225" s="38">
        <f>Daily_Plan!AA8</f>
        <v>22.05</v>
      </c>
      <c r="H225" s="38">
        <f>Product_Liftings!F8</f>
        <v>18</v>
      </c>
      <c r="I225" s="39">
        <f t="shared" si="16"/>
        <v>159.94000000000003</v>
      </c>
      <c r="J225" s="38">
        <f>Tank_Master!$E$11</f>
        <v>30</v>
      </c>
      <c r="K225" s="38">
        <f>Tank_Master!$D$11</f>
        <v>300</v>
      </c>
      <c r="L225" s="9" t="str">
        <f t="shared" si="17"/>
        <v>OK</v>
      </c>
      <c r="M225" s="40">
        <f t="shared" si="18"/>
        <v>0.53313333333333346</v>
      </c>
    </row>
    <row r="226" spans="1:13" x14ac:dyDescent="0.25">
      <c r="A226" s="9" t="s">
        <v>290</v>
      </c>
      <c r="B226" s="9" t="s">
        <v>248</v>
      </c>
      <c r="C226" s="9" t="s">
        <v>287</v>
      </c>
      <c r="D226" s="9">
        <v>5</v>
      </c>
      <c r="E226" s="37">
        <f>Daily_Plan!B9</f>
        <v>46300</v>
      </c>
      <c r="F226" s="23">
        <f t="shared" si="19"/>
        <v>159.94000000000003</v>
      </c>
      <c r="G226" s="38">
        <f>Daily_Plan!AA9</f>
        <v>20.529999999999998</v>
      </c>
      <c r="H226" s="38">
        <f>Product_Liftings!F9</f>
        <v>18</v>
      </c>
      <c r="I226" s="39">
        <f t="shared" si="16"/>
        <v>162.47000000000003</v>
      </c>
      <c r="J226" s="38">
        <f>Tank_Master!$E$11</f>
        <v>30</v>
      </c>
      <c r="K226" s="38">
        <f>Tank_Master!$D$11</f>
        <v>300</v>
      </c>
      <c r="L226" s="9" t="str">
        <f t="shared" si="17"/>
        <v>OK</v>
      </c>
      <c r="M226" s="40">
        <f t="shared" si="18"/>
        <v>0.54156666666666675</v>
      </c>
    </row>
    <row r="227" spans="1:13" x14ac:dyDescent="0.25">
      <c r="A227" s="9" t="s">
        <v>290</v>
      </c>
      <c r="B227" s="9" t="s">
        <v>248</v>
      </c>
      <c r="C227" s="9" t="s">
        <v>287</v>
      </c>
      <c r="D227" s="9">
        <v>6</v>
      </c>
      <c r="E227" s="37">
        <f>Daily_Plan!B10</f>
        <v>46301</v>
      </c>
      <c r="F227" s="23">
        <f t="shared" si="19"/>
        <v>162.47000000000003</v>
      </c>
      <c r="G227" s="38">
        <f>Daily_Plan!AA10</f>
        <v>21.6</v>
      </c>
      <c r="H227" s="38">
        <f>Product_Liftings!F10</f>
        <v>18</v>
      </c>
      <c r="I227" s="39">
        <f t="shared" si="16"/>
        <v>166.07000000000002</v>
      </c>
      <c r="J227" s="38">
        <f>Tank_Master!$E$11</f>
        <v>30</v>
      </c>
      <c r="K227" s="38">
        <f>Tank_Master!$D$11</f>
        <v>300</v>
      </c>
      <c r="L227" s="9" t="str">
        <f t="shared" si="17"/>
        <v>OK</v>
      </c>
      <c r="M227" s="40">
        <f t="shared" si="18"/>
        <v>0.55356666666666676</v>
      </c>
    </row>
    <row r="228" spans="1:13" x14ac:dyDescent="0.25">
      <c r="A228" s="9" t="s">
        <v>290</v>
      </c>
      <c r="B228" s="9" t="s">
        <v>248</v>
      </c>
      <c r="C228" s="9" t="s">
        <v>287</v>
      </c>
      <c r="D228" s="9">
        <v>7</v>
      </c>
      <c r="E228" s="37">
        <f>Daily_Plan!B11</f>
        <v>46302</v>
      </c>
      <c r="F228" s="23">
        <f t="shared" si="19"/>
        <v>166.07000000000002</v>
      </c>
      <c r="G228" s="38">
        <f>Daily_Plan!AA11</f>
        <v>22.840000000000003</v>
      </c>
      <c r="H228" s="38">
        <f>Product_Liftings!F11</f>
        <v>103</v>
      </c>
      <c r="I228" s="39">
        <f t="shared" si="16"/>
        <v>85.910000000000025</v>
      </c>
      <c r="J228" s="38">
        <f>Tank_Master!$E$11</f>
        <v>30</v>
      </c>
      <c r="K228" s="38">
        <f>Tank_Master!$D$11</f>
        <v>300</v>
      </c>
      <c r="L228" s="9" t="str">
        <f t="shared" si="17"/>
        <v>OK</v>
      </c>
      <c r="M228" s="40">
        <f t="shared" si="18"/>
        <v>0.28636666666666677</v>
      </c>
    </row>
    <row r="229" spans="1:13" x14ac:dyDescent="0.25">
      <c r="A229" s="9" t="s">
        <v>290</v>
      </c>
      <c r="B229" s="9" t="s">
        <v>248</v>
      </c>
      <c r="C229" s="9" t="s">
        <v>287</v>
      </c>
      <c r="D229" s="9">
        <v>8</v>
      </c>
      <c r="E229" s="37">
        <f>Daily_Plan!B12</f>
        <v>46303</v>
      </c>
      <c r="F229" s="23">
        <f t="shared" si="19"/>
        <v>85.910000000000025</v>
      </c>
      <c r="G229" s="38">
        <f>Daily_Plan!AA12</f>
        <v>23.3</v>
      </c>
      <c r="H229" s="38">
        <f>Product_Liftings!F12</f>
        <v>18</v>
      </c>
      <c r="I229" s="39">
        <f t="shared" si="16"/>
        <v>91.210000000000022</v>
      </c>
      <c r="J229" s="38">
        <f>Tank_Master!$E$11</f>
        <v>30</v>
      </c>
      <c r="K229" s="38">
        <f>Tank_Master!$D$11</f>
        <v>300</v>
      </c>
      <c r="L229" s="9" t="str">
        <f t="shared" si="17"/>
        <v>OK</v>
      </c>
      <c r="M229" s="40">
        <f t="shared" si="18"/>
        <v>0.30403333333333343</v>
      </c>
    </row>
    <row r="230" spans="1:13" x14ac:dyDescent="0.25">
      <c r="A230" s="9" t="s">
        <v>290</v>
      </c>
      <c r="B230" s="9" t="s">
        <v>248</v>
      </c>
      <c r="C230" s="9" t="s">
        <v>287</v>
      </c>
      <c r="D230" s="9">
        <v>9</v>
      </c>
      <c r="E230" s="37">
        <f>Daily_Plan!B13</f>
        <v>46304</v>
      </c>
      <c r="F230" s="23">
        <f t="shared" si="19"/>
        <v>91.210000000000022</v>
      </c>
      <c r="G230" s="38">
        <f>Daily_Plan!AA13</f>
        <v>23.32</v>
      </c>
      <c r="H230" s="38">
        <f>Product_Liftings!F13</f>
        <v>18</v>
      </c>
      <c r="I230" s="39">
        <f t="shared" si="16"/>
        <v>96.53000000000003</v>
      </c>
      <c r="J230" s="38">
        <f>Tank_Master!$E$11</f>
        <v>30</v>
      </c>
      <c r="K230" s="38">
        <f>Tank_Master!$D$11</f>
        <v>300</v>
      </c>
      <c r="L230" s="9" t="str">
        <f t="shared" si="17"/>
        <v>OK</v>
      </c>
      <c r="M230" s="40">
        <f t="shared" si="18"/>
        <v>0.32176666666666676</v>
      </c>
    </row>
    <row r="231" spans="1:13" x14ac:dyDescent="0.25">
      <c r="A231" s="9" t="s">
        <v>290</v>
      </c>
      <c r="B231" s="9" t="s">
        <v>248</v>
      </c>
      <c r="C231" s="9" t="s">
        <v>287</v>
      </c>
      <c r="D231" s="9">
        <v>10</v>
      </c>
      <c r="E231" s="37">
        <f>Daily_Plan!B14</f>
        <v>46305</v>
      </c>
      <c r="F231" s="23">
        <f t="shared" si="19"/>
        <v>96.53000000000003</v>
      </c>
      <c r="G231" s="38">
        <f>Daily_Plan!AA14</f>
        <v>23.3</v>
      </c>
      <c r="H231" s="38">
        <f>Product_Liftings!F14</f>
        <v>18</v>
      </c>
      <c r="I231" s="39">
        <f t="shared" si="16"/>
        <v>101.83000000000003</v>
      </c>
      <c r="J231" s="38">
        <f>Tank_Master!$E$11</f>
        <v>30</v>
      </c>
      <c r="K231" s="38">
        <f>Tank_Master!$D$11</f>
        <v>300</v>
      </c>
      <c r="L231" s="9" t="str">
        <f t="shared" si="17"/>
        <v>OK</v>
      </c>
      <c r="M231" s="40">
        <f t="shared" si="18"/>
        <v>0.33943333333333342</v>
      </c>
    </row>
    <row r="232" spans="1:13" x14ac:dyDescent="0.25">
      <c r="A232" s="9" t="s">
        <v>290</v>
      </c>
      <c r="B232" s="9" t="s">
        <v>248</v>
      </c>
      <c r="C232" s="9" t="s">
        <v>287</v>
      </c>
      <c r="D232" s="9">
        <v>11</v>
      </c>
      <c r="E232" s="37">
        <f>Daily_Plan!B15</f>
        <v>46306</v>
      </c>
      <c r="F232" s="23">
        <f t="shared" si="19"/>
        <v>101.83000000000003</v>
      </c>
      <c r="G232" s="38">
        <f>Daily_Plan!AA15</f>
        <v>23.3</v>
      </c>
      <c r="H232" s="38">
        <f>Product_Liftings!F15</f>
        <v>18</v>
      </c>
      <c r="I232" s="39">
        <f t="shared" si="16"/>
        <v>107.13000000000002</v>
      </c>
      <c r="J232" s="38">
        <f>Tank_Master!$E$11</f>
        <v>30</v>
      </c>
      <c r="K232" s="38">
        <f>Tank_Master!$D$11</f>
        <v>300</v>
      </c>
      <c r="L232" s="9" t="str">
        <f t="shared" si="17"/>
        <v>OK</v>
      </c>
      <c r="M232" s="40">
        <f t="shared" si="18"/>
        <v>0.35710000000000008</v>
      </c>
    </row>
    <row r="233" spans="1:13" x14ac:dyDescent="0.25">
      <c r="A233" s="9" t="s">
        <v>290</v>
      </c>
      <c r="B233" s="9" t="s">
        <v>248</v>
      </c>
      <c r="C233" s="9" t="s">
        <v>287</v>
      </c>
      <c r="D233" s="9">
        <v>12</v>
      </c>
      <c r="E233" s="37">
        <f>Daily_Plan!B16</f>
        <v>46307</v>
      </c>
      <c r="F233" s="23">
        <f t="shared" si="19"/>
        <v>107.13000000000002</v>
      </c>
      <c r="G233" s="38">
        <f>Daily_Plan!AA16</f>
        <v>23.3</v>
      </c>
      <c r="H233" s="38">
        <f>Product_Liftings!F16</f>
        <v>18</v>
      </c>
      <c r="I233" s="39">
        <f t="shared" si="16"/>
        <v>112.43000000000004</v>
      </c>
      <c r="J233" s="38">
        <f>Tank_Master!$E$11</f>
        <v>30</v>
      </c>
      <c r="K233" s="38">
        <f>Tank_Master!$D$11</f>
        <v>300</v>
      </c>
      <c r="L233" s="9" t="str">
        <f t="shared" si="17"/>
        <v>OK</v>
      </c>
      <c r="M233" s="40">
        <f t="shared" si="18"/>
        <v>0.3747666666666668</v>
      </c>
    </row>
    <row r="234" spans="1:13" x14ac:dyDescent="0.25">
      <c r="A234" s="9" t="s">
        <v>290</v>
      </c>
      <c r="B234" s="9" t="s">
        <v>248</v>
      </c>
      <c r="C234" s="9" t="s">
        <v>287</v>
      </c>
      <c r="D234" s="9">
        <v>13</v>
      </c>
      <c r="E234" s="37">
        <f>Daily_Plan!B17</f>
        <v>46308</v>
      </c>
      <c r="F234" s="23">
        <f t="shared" si="19"/>
        <v>112.43000000000004</v>
      </c>
      <c r="G234" s="38">
        <f>Daily_Plan!AA17</f>
        <v>23.3</v>
      </c>
      <c r="H234" s="38">
        <f>Product_Liftings!F17</f>
        <v>18</v>
      </c>
      <c r="I234" s="39">
        <f t="shared" si="16"/>
        <v>117.73000000000005</v>
      </c>
      <c r="J234" s="38">
        <f>Tank_Master!$E$11</f>
        <v>30</v>
      </c>
      <c r="K234" s="38">
        <f>Tank_Master!$D$11</f>
        <v>300</v>
      </c>
      <c r="L234" s="9" t="str">
        <f t="shared" si="17"/>
        <v>OK</v>
      </c>
      <c r="M234" s="40">
        <f t="shared" si="18"/>
        <v>0.39243333333333347</v>
      </c>
    </row>
    <row r="235" spans="1:13" x14ac:dyDescent="0.25">
      <c r="A235" s="9" t="s">
        <v>290</v>
      </c>
      <c r="B235" s="9" t="s">
        <v>248</v>
      </c>
      <c r="C235" s="9" t="s">
        <v>287</v>
      </c>
      <c r="D235" s="9">
        <v>14</v>
      </c>
      <c r="E235" s="37">
        <f>Daily_Plan!B18</f>
        <v>46309</v>
      </c>
      <c r="F235" s="23">
        <f t="shared" si="19"/>
        <v>117.73000000000005</v>
      </c>
      <c r="G235" s="38">
        <f>Daily_Plan!AA18</f>
        <v>23.3</v>
      </c>
      <c r="H235" s="38">
        <f>Product_Liftings!F18</f>
        <v>18</v>
      </c>
      <c r="I235" s="39">
        <f t="shared" si="16"/>
        <v>123.03000000000006</v>
      </c>
      <c r="J235" s="38">
        <f>Tank_Master!$E$11</f>
        <v>30</v>
      </c>
      <c r="K235" s="38">
        <f>Tank_Master!$D$11</f>
        <v>300</v>
      </c>
      <c r="L235" s="9" t="str">
        <f t="shared" si="17"/>
        <v>OK</v>
      </c>
      <c r="M235" s="40">
        <f t="shared" si="18"/>
        <v>0.41010000000000019</v>
      </c>
    </row>
    <row r="236" spans="1:13" x14ac:dyDescent="0.25">
      <c r="A236" s="9" t="s">
        <v>290</v>
      </c>
      <c r="B236" s="9" t="s">
        <v>248</v>
      </c>
      <c r="C236" s="9" t="s">
        <v>287</v>
      </c>
      <c r="D236" s="9">
        <v>15</v>
      </c>
      <c r="E236" s="37">
        <f>Daily_Plan!B19</f>
        <v>46310</v>
      </c>
      <c r="F236" s="23">
        <f t="shared" si="19"/>
        <v>123.03000000000006</v>
      </c>
      <c r="G236" s="38">
        <f>Daily_Plan!AA19</f>
        <v>23.3</v>
      </c>
      <c r="H236" s="38">
        <f>Product_Liftings!F19</f>
        <v>18</v>
      </c>
      <c r="I236" s="39">
        <f t="shared" si="16"/>
        <v>128.33000000000007</v>
      </c>
      <c r="J236" s="38">
        <f>Tank_Master!$E$11</f>
        <v>30</v>
      </c>
      <c r="K236" s="38">
        <f>Tank_Master!$D$11</f>
        <v>300</v>
      </c>
      <c r="L236" s="9" t="str">
        <f t="shared" si="17"/>
        <v>OK</v>
      </c>
      <c r="M236" s="40">
        <f t="shared" si="18"/>
        <v>0.42776666666666691</v>
      </c>
    </row>
    <row r="237" spans="1:13" x14ac:dyDescent="0.25">
      <c r="A237" s="9" t="s">
        <v>290</v>
      </c>
      <c r="B237" s="9" t="s">
        <v>248</v>
      </c>
      <c r="C237" s="9" t="s">
        <v>287</v>
      </c>
      <c r="D237" s="9">
        <v>16</v>
      </c>
      <c r="E237" s="37">
        <f>Daily_Plan!B20</f>
        <v>46311</v>
      </c>
      <c r="F237" s="23">
        <f t="shared" si="19"/>
        <v>128.33000000000007</v>
      </c>
      <c r="G237" s="38">
        <f>Daily_Plan!AA20</f>
        <v>23.3</v>
      </c>
      <c r="H237" s="38">
        <f>Product_Liftings!F20</f>
        <v>18</v>
      </c>
      <c r="I237" s="39">
        <f t="shared" si="16"/>
        <v>133.63000000000008</v>
      </c>
      <c r="J237" s="38">
        <f>Tank_Master!$E$11</f>
        <v>30</v>
      </c>
      <c r="K237" s="38">
        <f>Tank_Master!$D$11</f>
        <v>300</v>
      </c>
      <c r="L237" s="9" t="str">
        <f t="shared" si="17"/>
        <v>OK</v>
      </c>
      <c r="M237" s="40">
        <f t="shared" si="18"/>
        <v>0.44543333333333363</v>
      </c>
    </row>
    <row r="238" spans="1:13" x14ac:dyDescent="0.25">
      <c r="A238" s="9" t="s">
        <v>290</v>
      </c>
      <c r="B238" s="9" t="s">
        <v>248</v>
      </c>
      <c r="C238" s="9" t="s">
        <v>287</v>
      </c>
      <c r="D238" s="9">
        <v>17</v>
      </c>
      <c r="E238" s="37">
        <f>Daily_Plan!B21</f>
        <v>46312</v>
      </c>
      <c r="F238" s="23">
        <f t="shared" si="19"/>
        <v>133.63000000000008</v>
      </c>
      <c r="G238" s="38">
        <f>Daily_Plan!AA21</f>
        <v>23.3</v>
      </c>
      <c r="H238" s="38">
        <f>Product_Liftings!F21</f>
        <v>18</v>
      </c>
      <c r="I238" s="39">
        <f t="shared" si="16"/>
        <v>138.93000000000009</v>
      </c>
      <c r="J238" s="38">
        <f>Tank_Master!$E$11</f>
        <v>30</v>
      </c>
      <c r="K238" s="38">
        <f>Tank_Master!$D$11</f>
        <v>300</v>
      </c>
      <c r="L238" s="9" t="str">
        <f t="shared" si="17"/>
        <v>OK</v>
      </c>
      <c r="M238" s="40">
        <f t="shared" si="18"/>
        <v>0.46310000000000029</v>
      </c>
    </row>
    <row r="239" spans="1:13" x14ac:dyDescent="0.25">
      <c r="A239" s="9" t="s">
        <v>290</v>
      </c>
      <c r="B239" s="9" t="s">
        <v>248</v>
      </c>
      <c r="C239" s="9" t="s">
        <v>287</v>
      </c>
      <c r="D239" s="9">
        <v>18</v>
      </c>
      <c r="E239" s="37">
        <f>Daily_Plan!B22</f>
        <v>46313</v>
      </c>
      <c r="F239" s="23">
        <f t="shared" si="19"/>
        <v>138.93000000000009</v>
      </c>
      <c r="G239" s="38">
        <f>Daily_Plan!AA22</f>
        <v>23.3</v>
      </c>
      <c r="H239" s="38">
        <f>Product_Liftings!F22</f>
        <v>18</v>
      </c>
      <c r="I239" s="39">
        <f t="shared" si="16"/>
        <v>144.2300000000001</v>
      </c>
      <c r="J239" s="38">
        <f>Tank_Master!$E$11</f>
        <v>30</v>
      </c>
      <c r="K239" s="38">
        <f>Tank_Master!$D$11</f>
        <v>300</v>
      </c>
      <c r="L239" s="9" t="str">
        <f t="shared" si="17"/>
        <v>OK</v>
      </c>
      <c r="M239" s="40">
        <f t="shared" si="18"/>
        <v>0.48076666666666701</v>
      </c>
    </row>
    <row r="240" spans="1:13" x14ac:dyDescent="0.25">
      <c r="A240" s="9" t="s">
        <v>290</v>
      </c>
      <c r="B240" s="9" t="s">
        <v>248</v>
      </c>
      <c r="C240" s="9" t="s">
        <v>287</v>
      </c>
      <c r="D240" s="9">
        <v>19</v>
      </c>
      <c r="E240" s="37">
        <f>Daily_Plan!B23</f>
        <v>46314</v>
      </c>
      <c r="F240" s="23">
        <f t="shared" si="19"/>
        <v>144.2300000000001</v>
      </c>
      <c r="G240" s="38">
        <f>Daily_Plan!AA23</f>
        <v>23.3</v>
      </c>
      <c r="H240" s="38">
        <f>Product_Liftings!F23</f>
        <v>18</v>
      </c>
      <c r="I240" s="39">
        <f t="shared" si="16"/>
        <v>149.53000000000011</v>
      </c>
      <c r="J240" s="38">
        <f>Tank_Master!$E$11</f>
        <v>30</v>
      </c>
      <c r="K240" s="38">
        <f>Tank_Master!$D$11</f>
        <v>300</v>
      </c>
      <c r="L240" s="9" t="str">
        <f t="shared" si="17"/>
        <v>OK</v>
      </c>
      <c r="M240" s="40">
        <f t="shared" si="18"/>
        <v>0.49843333333333373</v>
      </c>
    </row>
    <row r="241" spans="1:13" x14ac:dyDescent="0.25">
      <c r="A241" s="9" t="s">
        <v>290</v>
      </c>
      <c r="B241" s="9" t="s">
        <v>248</v>
      </c>
      <c r="C241" s="9" t="s">
        <v>287</v>
      </c>
      <c r="D241" s="9">
        <v>20</v>
      </c>
      <c r="E241" s="37">
        <f>Daily_Plan!B24</f>
        <v>46315</v>
      </c>
      <c r="F241" s="23">
        <f t="shared" si="19"/>
        <v>149.53000000000011</v>
      </c>
      <c r="G241" s="38">
        <f>Daily_Plan!AA24</f>
        <v>23.3</v>
      </c>
      <c r="H241" s="38">
        <f>Product_Liftings!F24</f>
        <v>18</v>
      </c>
      <c r="I241" s="39">
        <f t="shared" si="16"/>
        <v>154.83000000000013</v>
      </c>
      <c r="J241" s="38">
        <f>Tank_Master!$E$11</f>
        <v>30</v>
      </c>
      <c r="K241" s="38">
        <f>Tank_Master!$D$11</f>
        <v>300</v>
      </c>
      <c r="L241" s="9" t="str">
        <f t="shared" si="17"/>
        <v>OK</v>
      </c>
      <c r="M241" s="40">
        <f t="shared" si="18"/>
        <v>0.51610000000000045</v>
      </c>
    </row>
    <row r="242" spans="1:13" x14ac:dyDescent="0.25">
      <c r="A242" s="9" t="s">
        <v>290</v>
      </c>
      <c r="B242" s="9" t="s">
        <v>248</v>
      </c>
      <c r="C242" s="9" t="s">
        <v>287</v>
      </c>
      <c r="D242" s="9">
        <v>21</v>
      </c>
      <c r="E242" s="37">
        <f>Daily_Plan!B25</f>
        <v>46316</v>
      </c>
      <c r="F242" s="23">
        <f t="shared" si="19"/>
        <v>154.83000000000013</v>
      </c>
      <c r="G242" s="38">
        <f>Daily_Plan!AA25</f>
        <v>23.3</v>
      </c>
      <c r="H242" s="38">
        <f>Product_Liftings!F25</f>
        <v>103</v>
      </c>
      <c r="I242" s="39">
        <f t="shared" si="16"/>
        <v>75.130000000000138</v>
      </c>
      <c r="J242" s="38">
        <f>Tank_Master!$E$11</f>
        <v>30</v>
      </c>
      <c r="K242" s="38">
        <f>Tank_Master!$D$11</f>
        <v>300</v>
      </c>
      <c r="L242" s="9" t="str">
        <f t="shared" si="17"/>
        <v>OK</v>
      </c>
      <c r="M242" s="40">
        <f t="shared" si="18"/>
        <v>0.25043333333333379</v>
      </c>
    </row>
    <row r="243" spans="1:13" x14ac:dyDescent="0.25">
      <c r="A243" s="9" t="s">
        <v>290</v>
      </c>
      <c r="B243" s="9" t="s">
        <v>248</v>
      </c>
      <c r="C243" s="9" t="s">
        <v>287</v>
      </c>
      <c r="D243" s="9">
        <v>22</v>
      </c>
      <c r="E243" s="37">
        <f>Daily_Plan!B26</f>
        <v>46317</v>
      </c>
      <c r="F243" s="23">
        <f t="shared" si="19"/>
        <v>75.130000000000138</v>
      </c>
      <c r="G243" s="38">
        <f>Daily_Plan!AA26</f>
        <v>23.3</v>
      </c>
      <c r="H243" s="38">
        <f>Product_Liftings!F26</f>
        <v>18</v>
      </c>
      <c r="I243" s="39">
        <f t="shared" si="16"/>
        <v>80.430000000000135</v>
      </c>
      <c r="J243" s="38">
        <f>Tank_Master!$E$11</f>
        <v>30</v>
      </c>
      <c r="K243" s="38">
        <f>Tank_Master!$D$11</f>
        <v>300</v>
      </c>
      <c r="L243" s="9" t="str">
        <f t="shared" si="17"/>
        <v>OK</v>
      </c>
      <c r="M243" s="40">
        <f t="shared" si="18"/>
        <v>0.26810000000000045</v>
      </c>
    </row>
    <row r="244" spans="1:13" x14ac:dyDescent="0.25">
      <c r="A244" s="9" t="s">
        <v>290</v>
      </c>
      <c r="B244" s="9" t="s">
        <v>248</v>
      </c>
      <c r="C244" s="9" t="s">
        <v>287</v>
      </c>
      <c r="D244" s="9">
        <v>23</v>
      </c>
      <c r="E244" s="37">
        <f>Daily_Plan!B27</f>
        <v>46318</v>
      </c>
      <c r="F244" s="23">
        <f t="shared" si="19"/>
        <v>80.430000000000135</v>
      </c>
      <c r="G244" s="38">
        <f>Daily_Plan!AA27</f>
        <v>23.3</v>
      </c>
      <c r="H244" s="38">
        <f>Product_Liftings!F27</f>
        <v>18</v>
      </c>
      <c r="I244" s="39">
        <f t="shared" si="16"/>
        <v>85.730000000000132</v>
      </c>
      <c r="J244" s="38">
        <f>Tank_Master!$E$11</f>
        <v>30</v>
      </c>
      <c r="K244" s="38">
        <f>Tank_Master!$D$11</f>
        <v>300</v>
      </c>
      <c r="L244" s="9" t="str">
        <f t="shared" si="17"/>
        <v>OK</v>
      </c>
      <c r="M244" s="40">
        <f t="shared" si="18"/>
        <v>0.28576666666666711</v>
      </c>
    </row>
    <row r="245" spans="1:13" x14ac:dyDescent="0.25">
      <c r="A245" s="9" t="s">
        <v>290</v>
      </c>
      <c r="B245" s="9" t="s">
        <v>248</v>
      </c>
      <c r="C245" s="9" t="s">
        <v>287</v>
      </c>
      <c r="D245" s="9">
        <v>24</v>
      </c>
      <c r="E245" s="37">
        <f>Daily_Plan!B28</f>
        <v>46319</v>
      </c>
      <c r="F245" s="23">
        <f t="shared" si="19"/>
        <v>85.730000000000132</v>
      </c>
      <c r="G245" s="38">
        <f>Daily_Plan!AA28</f>
        <v>23.3</v>
      </c>
      <c r="H245" s="38">
        <f>Product_Liftings!F28</f>
        <v>18</v>
      </c>
      <c r="I245" s="39">
        <f t="shared" si="16"/>
        <v>91.030000000000129</v>
      </c>
      <c r="J245" s="38">
        <f>Tank_Master!$E$11</f>
        <v>30</v>
      </c>
      <c r="K245" s="38">
        <f>Tank_Master!$D$11</f>
        <v>300</v>
      </c>
      <c r="L245" s="9" t="str">
        <f t="shared" si="17"/>
        <v>OK</v>
      </c>
      <c r="M245" s="40">
        <f t="shared" si="18"/>
        <v>0.30343333333333378</v>
      </c>
    </row>
    <row r="246" spans="1:13" x14ac:dyDescent="0.25">
      <c r="A246" s="9" t="s">
        <v>290</v>
      </c>
      <c r="B246" s="9" t="s">
        <v>248</v>
      </c>
      <c r="C246" s="9" t="s">
        <v>287</v>
      </c>
      <c r="D246" s="9">
        <v>25</v>
      </c>
      <c r="E246" s="37">
        <f>Daily_Plan!B29</f>
        <v>46320</v>
      </c>
      <c r="F246" s="23">
        <f t="shared" si="19"/>
        <v>91.030000000000129</v>
      </c>
      <c r="G246" s="38">
        <f>Daily_Plan!AA29</f>
        <v>23.3</v>
      </c>
      <c r="H246" s="38">
        <f>Product_Liftings!F29</f>
        <v>18</v>
      </c>
      <c r="I246" s="39">
        <f t="shared" si="16"/>
        <v>96.330000000000126</v>
      </c>
      <c r="J246" s="38">
        <f>Tank_Master!$E$11</f>
        <v>30</v>
      </c>
      <c r="K246" s="38">
        <f>Tank_Master!$D$11</f>
        <v>300</v>
      </c>
      <c r="L246" s="9" t="str">
        <f t="shared" si="17"/>
        <v>OK</v>
      </c>
      <c r="M246" s="40">
        <f t="shared" si="18"/>
        <v>0.32110000000000044</v>
      </c>
    </row>
    <row r="247" spans="1:13" x14ac:dyDescent="0.25">
      <c r="A247" s="9" t="s">
        <v>290</v>
      </c>
      <c r="B247" s="9" t="s">
        <v>248</v>
      </c>
      <c r="C247" s="9" t="s">
        <v>287</v>
      </c>
      <c r="D247" s="9">
        <v>26</v>
      </c>
      <c r="E247" s="37">
        <f>Daily_Plan!B30</f>
        <v>46321</v>
      </c>
      <c r="F247" s="23">
        <f t="shared" si="19"/>
        <v>96.330000000000126</v>
      </c>
      <c r="G247" s="38">
        <f>Daily_Plan!AA30</f>
        <v>23.3</v>
      </c>
      <c r="H247" s="38">
        <f>Product_Liftings!F30</f>
        <v>18</v>
      </c>
      <c r="I247" s="39">
        <f t="shared" si="16"/>
        <v>101.63000000000012</v>
      </c>
      <c r="J247" s="38">
        <f>Tank_Master!$E$11</f>
        <v>30</v>
      </c>
      <c r="K247" s="38">
        <f>Tank_Master!$D$11</f>
        <v>300</v>
      </c>
      <c r="L247" s="9" t="str">
        <f t="shared" si="17"/>
        <v>OK</v>
      </c>
      <c r="M247" s="40">
        <f t="shared" si="18"/>
        <v>0.3387666666666671</v>
      </c>
    </row>
    <row r="248" spans="1:13" x14ac:dyDescent="0.25">
      <c r="A248" s="9" t="s">
        <v>290</v>
      </c>
      <c r="B248" s="9" t="s">
        <v>248</v>
      </c>
      <c r="C248" s="9" t="s">
        <v>287</v>
      </c>
      <c r="D248" s="9">
        <v>27</v>
      </c>
      <c r="E248" s="37">
        <f>Daily_Plan!B31</f>
        <v>46322</v>
      </c>
      <c r="F248" s="23">
        <f t="shared" si="19"/>
        <v>101.63000000000012</v>
      </c>
      <c r="G248" s="38">
        <f>Daily_Plan!AA31</f>
        <v>23.3</v>
      </c>
      <c r="H248" s="38">
        <f>Product_Liftings!F31</f>
        <v>18</v>
      </c>
      <c r="I248" s="39">
        <f t="shared" si="16"/>
        <v>106.93000000000012</v>
      </c>
      <c r="J248" s="38">
        <f>Tank_Master!$E$11</f>
        <v>30</v>
      </c>
      <c r="K248" s="38">
        <f>Tank_Master!$D$11</f>
        <v>300</v>
      </c>
      <c r="L248" s="9" t="str">
        <f t="shared" si="17"/>
        <v>OK</v>
      </c>
      <c r="M248" s="40">
        <f t="shared" si="18"/>
        <v>0.35643333333333371</v>
      </c>
    </row>
    <row r="249" spans="1:13" x14ac:dyDescent="0.25">
      <c r="A249" s="9" t="s">
        <v>290</v>
      </c>
      <c r="B249" s="9" t="s">
        <v>248</v>
      </c>
      <c r="C249" s="9" t="s">
        <v>287</v>
      </c>
      <c r="D249" s="9">
        <v>28</v>
      </c>
      <c r="E249" s="37">
        <f>Daily_Plan!B32</f>
        <v>46323</v>
      </c>
      <c r="F249" s="23">
        <f t="shared" si="19"/>
        <v>106.93000000000012</v>
      </c>
      <c r="G249" s="38">
        <f>Daily_Plan!AA32</f>
        <v>23.3</v>
      </c>
      <c r="H249" s="38">
        <f>Product_Liftings!F32</f>
        <v>18</v>
      </c>
      <c r="I249" s="39">
        <f t="shared" si="16"/>
        <v>112.23000000000013</v>
      </c>
      <c r="J249" s="38">
        <f>Tank_Master!$E$11</f>
        <v>30</v>
      </c>
      <c r="K249" s="38">
        <f>Tank_Master!$D$11</f>
        <v>300</v>
      </c>
      <c r="L249" s="9" t="str">
        <f t="shared" si="17"/>
        <v>OK</v>
      </c>
      <c r="M249" s="40">
        <f t="shared" si="18"/>
        <v>0.37410000000000043</v>
      </c>
    </row>
    <row r="250" spans="1:13" x14ac:dyDescent="0.25">
      <c r="A250" s="9" t="s">
        <v>290</v>
      </c>
      <c r="B250" s="9" t="s">
        <v>248</v>
      </c>
      <c r="C250" s="9" t="s">
        <v>287</v>
      </c>
      <c r="D250" s="9">
        <v>29</v>
      </c>
      <c r="E250" s="37">
        <f>Daily_Plan!B33</f>
        <v>46324</v>
      </c>
      <c r="F250" s="23">
        <f t="shared" si="19"/>
        <v>112.23000000000013</v>
      </c>
      <c r="G250" s="38">
        <f>Daily_Plan!AA33</f>
        <v>23.3</v>
      </c>
      <c r="H250" s="38">
        <f>Product_Liftings!F33</f>
        <v>18</v>
      </c>
      <c r="I250" s="39">
        <f t="shared" si="16"/>
        <v>117.53000000000014</v>
      </c>
      <c r="J250" s="38">
        <f>Tank_Master!$E$11</f>
        <v>30</v>
      </c>
      <c r="K250" s="38">
        <f>Tank_Master!$D$11</f>
        <v>300</v>
      </c>
      <c r="L250" s="9" t="str">
        <f t="shared" si="17"/>
        <v>OK</v>
      </c>
      <c r="M250" s="40">
        <f t="shared" si="18"/>
        <v>0.39176666666666715</v>
      </c>
    </row>
    <row r="251" spans="1:13" x14ac:dyDescent="0.25">
      <c r="A251" s="9" t="s">
        <v>290</v>
      </c>
      <c r="B251" s="9" t="s">
        <v>248</v>
      </c>
      <c r="C251" s="9" t="s">
        <v>287</v>
      </c>
      <c r="D251" s="9">
        <v>30</v>
      </c>
      <c r="E251" s="37">
        <f>Daily_Plan!B34</f>
        <v>46325</v>
      </c>
      <c r="F251" s="23">
        <f t="shared" si="19"/>
        <v>117.53000000000014</v>
      </c>
      <c r="G251" s="38">
        <f>Daily_Plan!AA34</f>
        <v>23.3</v>
      </c>
      <c r="H251" s="38">
        <f>Product_Liftings!F34</f>
        <v>18</v>
      </c>
      <c r="I251" s="39">
        <f t="shared" si="16"/>
        <v>122.83000000000015</v>
      </c>
      <c r="J251" s="38">
        <f>Tank_Master!$E$11</f>
        <v>30</v>
      </c>
      <c r="K251" s="38">
        <f>Tank_Master!$D$11</f>
        <v>300</v>
      </c>
      <c r="L251" s="9" t="str">
        <f t="shared" si="17"/>
        <v>OK</v>
      </c>
      <c r="M251" s="40">
        <f t="shared" si="18"/>
        <v>0.40943333333333387</v>
      </c>
    </row>
    <row r="252" spans="1:13" x14ac:dyDescent="0.25">
      <c r="A252" s="9" t="s">
        <v>290</v>
      </c>
      <c r="B252" s="9" t="s">
        <v>248</v>
      </c>
      <c r="C252" s="9" t="s">
        <v>287</v>
      </c>
      <c r="D252" s="9">
        <v>31</v>
      </c>
      <c r="E252" s="37">
        <f>Daily_Plan!B35</f>
        <v>46326</v>
      </c>
      <c r="F252" s="23">
        <f t="shared" si="19"/>
        <v>122.83000000000015</v>
      </c>
      <c r="G252" s="38">
        <f>Daily_Plan!AA35</f>
        <v>23.3</v>
      </c>
      <c r="H252" s="38">
        <f>Product_Liftings!F35</f>
        <v>18</v>
      </c>
      <c r="I252" s="39">
        <f t="shared" si="16"/>
        <v>128.13000000000017</v>
      </c>
      <c r="J252" s="38">
        <f>Tank_Master!$E$11</f>
        <v>30</v>
      </c>
      <c r="K252" s="38">
        <f>Tank_Master!$D$11</f>
        <v>300</v>
      </c>
      <c r="L252" s="9" t="str">
        <f t="shared" si="17"/>
        <v>OK</v>
      </c>
      <c r="M252" s="40">
        <f t="shared" si="18"/>
        <v>0.42710000000000053</v>
      </c>
    </row>
    <row r="253" spans="1:13" x14ac:dyDescent="0.25">
      <c r="A253" s="9" t="s">
        <v>291</v>
      </c>
      <c r="B253" s="9" t="s">
        <v>249</v>
      </c>
      <c r="C253" s="9" t="s">
        <v>287</v>
      </c>
      <c r="D253" s="9">
        <v>1</v>
      </c>
      <c r="E253" s="37">
        <f>Daily_Plan!B5</f>
        <v>46296</v>
      </c>
      <c r="F253" s="38">
        <f>Tank_Master!$F$12</f>
        <v>230</v>
      </c>
      <c r="G253" s="38">
        <f>Daily_Plan!AB5</f>
        <v>43.276799999999994</v>
      </c>
      <c r="H253" s="38">
        <f>Product_Liftings!G5</f>
        <v>35</v>
      </c>
      <c r="I253" s="39">
        <f t="shared" si="16"/>
        <v>238.27679999999998</v>
      </c>
      <c r="J253" s="38">
        <f>Tank_Master!$E$12</f>
        <v>50</v>
      </c>
      <c r="K253" s="38">
        <f>Tank_Master!$D$12</f>
        <v>500</v>
      </c>
      <c r="L253" s="9" t="str">
        <f t="shared" si="17"/>
        <v>OK</v>
      </c>
      <c r="M253" s="40">
        <f t="shared" si="18"/>
        <v>0.47655359999999997</v>
      </c>
    </row>
    <row r="254" spans="1:13" x14ac:dyDescent="0.25">
      <c r="A254" s="9" t="s">
        <v>291</v>
      </c>
      <c r="B254" s="9" t="s">
        <v>249</v>
      </c>
      <c r="C254" s="9" t="s">
        <v>287</v>
      </c>
      <c r="D254" s="9">
        <v>2</v>
      </c>
      <c r="E254" s="37">
        <f>Daily_Plan!B6</f>
        <v>46297</v>
      </c>
      <c r="F254" s="23">
        <f t="shared" ref="F254:F283" si="20">I253</f>
        <v>238.27679999999998</v>
      </c>
      <c r="G254" s="38">
        <f>Daily_Plan!AB6</f>
        <v>43.276799999999994</v>
      </c>
      <c r="H254" s="38">
        <f>Product_Liftings!G6</f>
        <v>35</v>
      </c>
      <c r="I254" s="39">
        <f t="shared" si="16"/>
        <v>246.55359999999996</v>
      </c>
      <c r="J254" s="38">
        <f>Tank_Master!$E$12</f>
        <v>50</v>
      </c>
      <c r="K254" s="38">
        <f>Tank_Master!$D$12</f>
        <v>500</v>
      </c>
      <c r="L254" s="9" t="str">
        <f t="shared" si="17"/>
        <v>OK</v>
      </c>
      <c r="M254" s="40">
        <f t="shared" si="18"/>
        <v>0.49310719999999991</v>
      </c>
    </row>
    <row r="255" spans="1:13" x14ac:dyDescent="0.25">
      <c r="A255" s="9" t="s">
        <v>291</v>
      </c>
      <c r="B255" s="9" t="s">
        <v>249</v>
      </c>
      <c r="C255" s="9" t="s">
        <v>287</v>
      </c>
      <c r="D255" s="9">
        <v>3</v>
      </c>
      <c r="E255" s="37">
        <f>Daily_Plan!B7</f>
        <v>46298</v>
      </c>
      <c r="F255" s="23">
        <f t="shared" si="20"/>
        <v>246.55359999999996</v>
      </c>
      <c r="G255" s="38">
        <f>Daily_Plan!AB7</f>
        <v>43.512</v>
      </c>
      <c r="H255" s="38">
        <f>Product_Liftings!G7</f>
        <v>35</v>
      </c>
      <c r="I255" s="39">
        <f t="shared" si="16"/>
        <v>255.06559999999996</v>
      </c>
      <c r="J255" s="38">
        <f>Tank_Master!$E$12</f>
        <v>50</v>
      </c>
      <c r="K255" s="38">
        <f>Tank_Master!$D$12</f>
        <v>500</v>
      </c>
      <c r="L255" s="9" t="str">
        <f t="shared" si="17"/>
        <v>OK</v>
      </c>
      <c r="M255" s="40">
        <f t="shared" si="18"/>
        <v>0.5101311999999999</v>
      </c>
    </row>
    <row r="256" spans="1:13" x14ac:dyDescent="0.25">
      <c r="A256" s="9" t="s">
        <v>291</v>
      </c>
      <c r="B256" s="9" t="s">
        <v>249</v>
      </c>
      <c r="C256" s="9" t="s">
        <v>287</v>
      </c>
      <c r="D256" s="9">
        <v>4</v>
      </c>
      <c r="E256" s="37">
        <f>Daily_Plan!B8</f>
        <v>46299</v>
      </c>
      <c r="F256" s="23">
        <f t="shared" si="20"/>
        <v>255.06559999999996</v>
      </c>
      <c r="G256" s="38">
        <f>Daily_Plan!AB8</f>
        <v>40.944400000000002</v>
      </c>
      <c r="H256" s="38">
        <f>Product_Liftings!G8</f>
        <v>35</v>
      </c>
      <c r="I256" s="39">
        <f t="shared" si="16"/>
        <v>261.01</v>
      </c>
      <c r="J256" s="38">
        <f>Tank_Master!$E$12</f>
        <v>50</v>
      </c>
      <c r="K256" s="38">
        <f>Tank_Master!$D$12</f>
        <v>500</v>
      </c>
      <c r="L256" s="9" t="str">
        <f t="shared" si="17"/>
        <v>OK</v>
      </c>
      <c r="M256" s="40">
        <f t="shared" si="18"/>
        <v>0.52201999999999993</v>
      </c>
    </row>
    <row r="257" spans="1:13" x14ac:dyDescent="0.25">
      <c r="A257" s="9" t="s">
        <v>291</v>
      </c>
      <c r="B257" s="9" t="s">
        <v>249</v>
      </c>
      <c r="C257" s="9" t="s">
        <v>287</v>
      </c>
      <c r="D257" s="9">
        <v>5</v>
      </c>
      <c r="E257" s="37">
        <f>Daily_Plan!B9</f>
        <v>46300</v>
      </c>
      <c r="F257" s="23">
        <f t="shared" si="20"/>
        <v>261.01</v>
      </c>
      <c r="G257" s="38">
        <f>Daily_Plan!AB9</f>
        <v>38.161199999999994</v>
      </c>
      <c r="H257" s="38">
        <f>Product_Liftings!G9</f>
        <v>35</v>
      </c>
      <c r="I257" s="39">
        <f t="shared" si="16"/>
        <v>264.1712</v>
      </c>
      <c r="J257" s="38">
        <f>Tank_Master!$E$12</f>
        <v>50</v>
      </c>
      <c r="K257" s="38">
        <f>Tank_Master!$D$12</f>
        <v>500</v>
      </c>
      <c r="L257" s="9" t="str">
        <f t="shared" si="17"/>
        <v>OK</v>
      </c>
      <c r="M257" s="40">
        <f t="shared" si="18"/>
        <v>0.52834239999999999</v>
      </c>
    </row>
    <row r="258" spans="1:13" x14ac:dyDescent="0.25">
      <c r="A258" s="9" t="s">
        <v>291</v>
      </c>
      <c r="B258" s="9" t="s">
        <v>249</v>
      </c>
      <c r="C258" s="9" t="s">
        <v>287</v>
      </c>
      <c r="D258" s="9">
        <v>6</v>
      </c>
      <c r="E258" s="37">
        <f>Daily_Plan!B10</f>
        <v>46301</v>
      </c>
      <c r="F258" s="23">
        <f t="shared" si="20"/>
        <v>264.1712</v>
      </c>
      <c r="G258" s="38">
        <f>Daily_Plan!AB10</f>
        <v>40.258399999999995</v>
      </c>
      <c r="H258" s="38">
        <f>Product_Liftings!G10</f>
        <v>35</v>
      </c>
      <c r="I258" s="39">
        <f t="shared" si="16"/>
        <v>269.42959999999999</v>
      </c>
      <c r="J258" s="38">
        <f>Tank_Master!$E$12</f>
        <v>50</v>
      </c>
      <c r="K258" s="38">
        <f>Tank_Master!$D$12</f>
        <v>500</v>
      </c>
      <c r="L258" s="9" t="str">
        <f t="shared" si="17"/>
        <v>OK</v>
      </c>
      <c r="M258" s="40">
        <f t="shared" si="18"/>
        <v>0.53885919999999998</v>
      </c>
    </row>
    <row r="259" spans="1:13" x14ac:dyDescent="0.25">
      <c r="A259" s="9" t="s">
        <v>291</v>
      </c>
      <c r="B259" s="9" t="s">
        <v>249</v>
      </c>
      <c r="C259" s="9" t="s">
        <v>287</v>
      </c>
      <c r="D259" s="9">
        <v>7</v>
      </c>
      <c r="E259" s="37">
        <f>Daily_Plan!B11</f>
        <v>46302</v>
      </c>
      <c r="F259" s="23">
        <f t="shared" si="20"/>
        <v>269.42959999999999</v>
      </c>
      <c r="G259" s="38">
        <f>Daily_Plan!AB11</f>
        <v>42.649599999999992</v>
      </c>
      <c r="H259" s="38">
        <f>Product_Liftings!G11</f>
        <v>35</v>
      </c>
      <c r="I259" s="39">
        <f t="shared" si="16"/>
        <v>277.07920000000001</v>
      </c>
      <c r="J259" s="38">
        <f>Tank_Master!$E$12</f>
        <v>50</v>
      </c>
      <c r="K259" s="38">
        <f>Tank_Master!$D$12</f>
        <v>500</v>
      </c>
      <c r="L259" s="9" t="str">
        <f t="shared" si="17"/>
        <v>OK</v>
      </c>
      <c r="M259" s="40">
        <f t="shared" si="18"/>
        <v>0.55415840000000005</v>
      </c>
    </row>
    <row r="260" spans="1:13" x14ac:dyDescent="0.25">
      <c r="A260" s="9" t="s">
        <v>291</v>
      </c>
      <c r="B260" s="9" t="s">
        <v>249</v>
      </c>
      <c r="C260" s="9" t="s">
        <v>287</v>
      </c>
      <c r="D260" s="9">
        <v>8</v>
      </c>
      <c r="E260" s="37">
        <f>Daily_Plan!B12</f>
        <v>46303</v>
      </c>
      <c r="F260" s="23">
        <f t="shared" si="20"/>
        <v>277.07920000000001</v>
      </c>
      <c r="G260" s="38">
        <f>Daily_Plan!AB12</f>
        <v>43.453199999999995</v>
      </c>
      <c r="H260" s="38">
        <f>Product_Liftings!G12</f>
        <v>35</v>
      </c>
      <c r="I260" s="39">
        <f t="shared" si="16"/>
        <v>285.5324</v>
      </c>
      <c r="J260" s="38">
        <f>Tank_Master!$E$12</f>
        <v>50</v>
      </c>
      <c r="K260" s="38">
        <f>Tank_Master!$D$12</f>
        <v>500</v>
      </c>
      <c r="L260" s="9" t="str">
        <f t="shared" si="17"/>
        <v>OK</v>
      </c>
      <c r="M260" s="40">
        <f t="shared" si="18"/>
        <v>0.57106480000000004</v>
      </c>
    </row>
    <row r="261" spans="1:13" x14ac:dyDescent="0.25">
      <c r="A261" s="9" t="s">
        <v>291</v>
      </c>
      <c r="B261" s="9" t="s">
        <v>249</v>
      </c>
      <c r="C261" s="9" t="s">
        <v>287</v>
      </c>
      <c r="D261" s="9">
        <v>9</v>
      </c>
      <c r="E261" s="37">
        <f>Daily_Plan!B13</f>
        <v>46304</v>
      </c>
      <c r="F261" s="23">
        <f t="shared" si="20"/>
        <v>285.5324</v>
      </c>
      <c r="G261" s="38">
        <f>Daily_Plan!AB13</f>
        <v>43.433599999999998</v>
      </c>
      <c r="H261" s="38">
        <f>Product_Liftings!G13</f>
        <v>35</v>
      </c>
      <c r="I261" s="39">
        <f t="shared" ref="I261:I314" si="21">F261+G261-H261</f>
        <v>293.96600000000001</v>
      </c>
      <c r="J261" s="38">
        <f>Tank_Master!$E$12</f>
        <v>50</v>
      </c>
      <c r="K261" s="38">
        <f>Tank_Master!$D$12</f>
        <v>500</v>
      </c>
      <c r="L261" s="9" t="str">
        <f t="shared" ref="L261:L314" si="22">IF(I261&lt;J261-0.001,"BELOW MIN",IF(I261&gt;K261+0.001,"ABOVE MAX","OK"))</f>
        <v>OK</v>
      </c>
      <c r="M261" s="40">
        <f t="shared" ref="M261:M314" si="23">IF(K261&gt;0,I261/K261,0)</f>
        <v>0.58793200000000001</v>
      </c>
    </row>
    <row r="262" spans="1:13" x14ac:dyDescent="0.25">
      <c r="A262" s="9" t="s">
        <v>291</v>
      </c>
      <c r="B262" s="9" t="s">
        <v>249</v>
      </c>
      <c r="C262" s="9" t="s">
        <v>287</v>
      </c>
      <c r="D262" s="9">
        <v>10</v>
      </c>
      <c r="E262" s="37">
        <f>Daily_Plan!B14</f>
        <v>46305</v>
      </c>
      <c r="F262" s="23">
        <f t="shared" si="20"/>
        <v>293.96600000000001</v>
      </c>
      <c r="G262" s="38">
        <f>Daily_Plan!AB14</f>
        <v>43.276799999999994</v>
      </c>
      <c r="H262" s="38">
        <f>Product_Liftings!G14</f>
        <v>35</v>
      </c>
      <c r="I262" s="39">
        <f t="shared" si="21"/>
        <v>302.24279999999999</v>
      </c>
      <c r="J262" s="38">
        <f>Tank_Master!$E$12</f>
        <v>50</v>
      </c>
      <c r="K262" s="38">
        <f>Tank_Master!$D$12</f>
        <v>500</v>
      </c>
      <c r="L262" s="9" t="str">
        <f t="shared" si="22"/>
        <v>OK</v>
      </c>
      <c r="M262" s="40">
        <f t="shared" si="23"/>
        <v>0.60448559999999996</v>
      </c>
    </row>
    <row r="263" spans="1:13" x14ac:dyDescent="0.25">
      <c r="A263" s="9" t="s">
        <v>291</v>
      </c>
      <c r="B263" s="9" t="s">
        <v>249</v>
      </c>
      <c r="C263" s="9" t="s">
        <v>287</v>
      </c>
      <c r="D263" s="9">
        <v>11</v>
      </c>
      <c r="E263" s="37">
        <f>Daily_Plan!B15</f>
        <v>46306</v>
      </c>
      <c r="F263" s="23">
        <f t="shared" si="20"/>
        <v>302.24279999999999</v>
      </c>
      <c r="G263" s="38">
        <f>Daily_Plan!AB15</f>
        <v>43.276799999999994</v>
      </c>
      <c r="H263" s="38">
        <f>Product_Liftings!G15</f>
        <v>175</v>
      </c>
      <c r="I263" s="39">
        <f t="shared" si="21"/>
        <v>170.51959999999997</v>
      </c>
      <c r="J263" s="38">
        <f>Tank_Master!$E$12</f>
        <v>50</v>
      </c>
      <c r="K263" s="38">
        <f>Tank_Master!$D$12</f>
        <v>500</v>
      </c>
      <c r="L263" s="9" t="str">
        <f t="shared" si="22"/>
        <v>OK</v>
      </c>
      <c r="M263" s="40">
        <f t="shared" si="23"/>
        <v>0.34103919999999993</v>
      </c>
    </row>
    <row r="264" spans="1:13" x14ac:dyDescent="0.25">
      <c r="A264" s="9" t="s">
        <v>291</v>
      </c>
      <c r="B264" s="9" t="s">
        <v>249</v>
      </c>
      <c r="C264" s="9" t="s">
        <v>287</v>
      </c>
      <c r="D264" s="9">
        <v>12</v>
      </c>
      <c r="E264" s="37">
        <f>Daily_Plan!B16</f>
        <v>46307</v>
      </c>
      <c r="F264" s="23">
        <f t="shared" si="20"/>
        <v>170.51959999999997</v>
      </c>
      <c r="G264" s="38">
        <f>Daily_Plan!AB16</f>
        <v>43.276799999999994</v>
      </c>
      <c r="H264" s="38">
        <f>Product_Liftings!G16</f>
        <v>35</v>
      </c>
      <c r="I264" s="39">
        <f t="shared" si="21"/>
        <v>178.79639999999995</v>
      </c>
      <c r="J264" s="38">
        <f>Tank_Master!$E$12</f>
        <v>50</v>
      </c>
      <c r="K264" s="38">
        <f>Tank_Master!$D$12</f>
        <v>500</v>
      </c>
      <c r="L264" s="9" t="str">
        <f t="shared" si="22"/>
        <v>OK</v>
      </c>
      <c r="M264" s="40">
        <f t="shared" si="23"/>
        <v>0.35759279999999988</v>
      </c>
    </row>
    <row r="265" spans="1:13" x14ac:dyDescent="0.25">
      <c r="A265" s="9" t="s">
        <v>291</v>
      </c>
      <c r="B265" s="9" t="s">
        <v>249</v>
      </c>
      <c r="C265" s="9" t="s">
        <v>287</v>
      </c>
      <c r="D265" s="9">
        <v>13</v>
      </c>
      <c r="E265" s="37">
        <f>Daily_Plan!B17</f>
        <v>46308</v>
      </c>
      <c r="F265" s="23">
        <f t="shared" si="20"/>
        <v>178.79639999999995</v>
      </c>
      <c r="G265" s="38">
        <f>Daily_Plan!AB17</f>
        <v>43.276799999999994</v>
      </c>
      <c r="H265" s="38">
        <f>Product_Liftings!G17</f>
        <v>35</v>
      </c>
      <c r="I265" s="39">
        <f t="shared" si="21"/>
        <v>187.07319999999993</v>
      </c>
      <c r="J265" s="38">
        <f>Tank_Master!$E$12</f>
        <v>50</v>
      </c>
      <c r="K265" s="38">
        <f>Tank_Master!$D$12</f>
        <v>500</v>
      </c>
      <c r="L265" s="9" t="str">
        <f t="shared" si="22"/>
        <v>OK</v>
      </c>
      <c r="M265" s="40">
        <f t="shared" si="23"/>
        <v>0.37414639999999988</v>
      </c>
    </row>
    <row r="266" spans="1:13" x14ac:dyDescent="0.25">
      <c r="A266" s="9" t="s">
        <v>291</v>
      </c>
      <c r="B266" s="9" t="s">
        <v>249</v>
      </c>
      <c r="C266" s="9" t="s">
        <v>287</v>
      </c>
      <c r="D266" s="9">
        <v>14</v>
      </c>
      <c r="E266" s="37">
        <f>Daily_Plan!B18</f>
        <v>46309</v>
      </c>
      <c r="F266" s="23">
        <f t="shared" si="20"/>
        <v>187.07319999999993</v>
      </c>
      <c r="G266" s="38">
        <f>Daily_Plan!AB18</f>
        <v>43.276799999999994</v>
      </c>
      <c r="H266" s="38">
        <f>Product_Liftings!G18</f>
        <v>35</v>
      </c>
      <c r="I266" s="39">
        <f t="shared" si="21"/>
        <v>195.34999999999991</v>
      </c>
      <c r="J266" s="38">
        <f>Tank_Master!$E$12</f>
        <v>50</v>
      </c>
      <c r="K266" s="38">
        <f>Tank_Master!$D$12</f>
        <v>500</v>
      </c>
      <c r="L266" s="9" t="str">
        <f t="shared" si="22"/>
        <v>OK</v>
      </c>
      <c r="M266" s="40">
        <f t="shared" si="23"/>
        <v>0.39069999999999983</v>
      </c>
    </row>
    <row r="267" spans="1:13" x14ac:dyDescent="0.25">
      <c r="A267" s="9" t="s">
        <v>291</v>
      </c>
      <c r="B267" s="9" t="s">
        <v>249</v>
      </c>
      <c r="C267" s="9" t="s">
        <v>287</v>
      </c>
      <c r="D267" s="9">
        <v>15</v>
      </c>
      <c r="E267" s="37">
        <f>Daily_Plan!B19</f>
        <v>46310</v>
      </c>
      <c r="F267" s="23">
        <f t="shared" si="20"/>
        <v>195.34999999999991</v>
      </c>
      <c r="G267" s="38">
        <f>Daily_Plan!AB19</f>
        <v>43.276799999999994</v>
      </c>
      <c r="H267" s="38">
        <f>Product_Liftings!G19</f>
        <v>35</v>
      </c>
      <c r="I267" s="39">
        <f t="shared" si="21"/>
        <v>203.62679999999989</v>
      </c>
      <c r="J267" s="38">
        <f>Tank_Master!$E$12</f>
        <v>50</v>
      </c>
      <c r="K267" s="38">
        <f>Tank_Master!$D$12</f>
        <v>500</v>
      </c>
      <c r="L267" s="9" t="str">
        <f t="shared" si="22"/>
        <v>OK</v>
      </c>
      <c r="M267" s="40">
        <f t="shared" si="23"/>
        <v>0.40725359999999977</v>
      </c>
    </row>
    <row r="268" spans="1:13" x14ac:dyDescent="0.25">
      <c r="A268" s="9" t="s">
        <v>291</v>
      </c>
      <c r="B268" s="9" t="s">
        <v>249</v>
      </c>
      <c r="C268" s="9" t="s">
        <v>287</v>
      </c>
      <c r="D268" s="9">
        <v>16</v>
      </c>
      <c r="E268" s="37">
        <f>Daily_Plan!B20</f>
        <v>46311</v>
      </c>
      <c r="F268" s="23">
        <f t="shared" si="20"/>
        <v>203.62679999999989</v>
      </c>
      <c r="G268" s="38">
        <f>Daily_Plan!AB20</f>
        <v>43.276799999999994</v>
      </c>
      <c r="H268" s="38">
        <f>Product_Liftings!G20</f>
        <v>35</v>
      </c>
      <c r="I268" s="39">
        <f t="shared" si="21"/>
        <v>211.90359999999987</v>
      </c>
      <c r="J268" s="38">
        <f>Tank_Master!$E$12</f>
        <v>50</v>
      </c>
      <c r="K268" s="38">
        <f>Tank_Master!$D$12</f>
        <v>500</v>
      </c>
      <c r="L268" s="9" t="str">
        <f t="shared" si="22"/>
        <v>OK</v>
      </c>
      <c r="M268" s="40">
        <f t="shared" si="23"/>
        <v>0.42380719999999972</v>
      </c>
    </row>
    <row r="269" spans="1:13" x14ac:dyDescent="0.25">
      <c r="A269" s="9" t="s">
        <v>291</v>
      </c>
      <c r="B269" s="9" t="s">
        <v>249</v>
      </c>
      <c r="C269" s="9" t="s">
        <v>287</v>
      </c>
      <c r="D269" s="9">
        <v>17</v>
      </c>
      <c r="E269" s="37">
        <f>Daily_Plan!B21</f>
        <v>46312</v>
      </c>
      <c r="F269" s="23">
        <f t="shared" si="20"/>
        <v>211.90359999999987</v>
      </c>
      <c r="G269" s="38">
        <f>Daily_Plan!AB21</f>
        <v>43.276799999999994</v>
      </c>
      <c r="H269" s="38">
        <f>Product_Liftings!G21</f>
        <v>35</v>
      </c>
      <c r="I269" s="39">
        <f t="shared" si="21"/>
        <v>220.18039999999985</v>
      </c>
      <c r="J269" s="38">
        <f>Tank_Master!$E$12</f>
        <v>50</v>
      </c>
      <c r="K269" s="38">
        <f>Tank_Master!$D$12</f>
        <v>500</v>
      </c>
      <c r="L269" s="9" t="str">
        <f t="shared" si="22"/>
        <v>OK</v>
      </c>
      <c r="M269" s="40">
        <f t="shared" si="23"/>
        <v>0.44036079999999972</v>
      </c>
    </row>
    <row r="270" spans="1:13" x14ac:dyDescent="0.25">
      <c r="A270" s="9" t="s">
        <v>291</v>
      </c>
      <c r="B270" s="9" t="s">
        <v>249</v>
      </c>
      <c r="C270" s="9" t="s">
        <v>287</v>
      </c>
      <c r="D270" s="9">
        <v>18</v>
      </c>
      <c r="E270" s="37">
        <f>Daily_Plan!B22</f>
        <v>46313</v>
      </c>
      <c r="F270" s="23">
        <f t="shared" si="20"/>
        <v>220.18039999999985</v>
      </c>
      <c r="G270" s="38">
        <f>Daily_Plan!AB22</f>
        <v>43.276799999999994</v>
      </c>
      <c r="H270" s="38">
        <f>Product_Liftings!G22</f>
        <v>35</v>
      </c>
      <c r="I270" s="39">
        <f t="shared" si="21"/>
        <v>228.45719999999983</v>
      </c>
      <c r="J270" s="38">
        <f>Tank_Master!$E$12</f>
        <v>50</v>
      </c>
      <c r="K270" s="38">
        <f>Tank_Master!$D$12</f>
        <v>500</v>
      </c>
      <c r="L270" s="9" t="str">
        <f t="shared" si="22"/>
        <v>OK</v>
      </c>
      <c r="M270" s="40">
        <f t="shared" si="23"/>
        <v>0.45691439999999967</v>
      </c>
    </row>
    <row r="271" spans="1:13" x14ac:dyDescent="0.25">
      <c r="A271" s="9" t="s">
        <v>291</v>
      </c>
      <c r="B271" s="9" t="s">
        <v>249</v>
      </c>
      <c r="C271" s="9" t="s">
        <v>287</v>
      </c>
      <c r="D271" s="9">
        <v>19</v>
      </c>
      <c r="E271" s="37">
        <f>Daily_Plan!B23</f>
        <v>46314</v>
      </c>
      <c r="F271" s="23">
        <f t="shared" si="20"/>
        <v>228.45719999999983</v>
      </c>
      <c r="G271" s="38">
        <f>Daily_Plan!AB23</f>
        <v>43.276799999999994</v>
      </c>
      <c r="H271" s="38">
        <f>Product_Liftings!G23</f>
        <v>35</v>
      </c>
      <c r="I271" s="39">
        <f t="shared" si="21"/>
        <v>236.73399999999981</v>
      </c>
      <c r="J271" s="38">
        <f>Tank_Master!$E$12</f>
        <v>50</v>
      </c>
      <c r="K271" s="38">
        <f>Tank_Master!$D$12</f>
        <v>500</v>
      </c>
      <c r="L271" s="9" t="str">
        <f t="shared" si="22"/>
        <v>OK</v>
      </c>
      <c r="M271" s="40">
        <f t="shared" si="23"/>
        <v>0.47346799999999961</v>
      </c>
    </row>
    <row r="272" spans="1:13" x14ac:dyDescent="0.25">
      <c r="A272" s="9" t="s">
        <v>291</v>
      </c>
      <c r="B272" s="9" t="s">
        <v>249</v>
      </c>
      <c r="C272" s="9" t="s">
        <v>287</v>
      </c>
      <c r="D272" s="9">
        <v>20</v>
      </c>
      <c r="E272" s="37">
        <f>Daily_Plan!B24</f>
        <v>46315</v>
      </c>
      <c r="F272" s="23">
        <f t="shared" si="20"/>
        <v>236.73399999999981</v>
      </c>
      <c r="G272" s="38">
        <f>Daily_Plan!AB24</f>
        <v>43.276799999999994</v>
      </c>
      <c r="H272" s="38">
        <f>Product_Liftings!G24</f>
        <v>35</v>
      </c>
      <c r="I272" s="39">
        <f t="shared" si="21"/>
        <v>245.01079999999979</v>
      </c>
      <c r="J272" s="38">
        <f>Tank_Master!$E$12</f>
        <v>50</v>
      </c>
      <c r="K272" s="38">
        <f>Tank_Master!$D$12</f>
        <v>500</v>
      </c>
      <c r="L272" s="9" t="str">
        <f t="shared" si="22"/>
        <v>OK</v>
      </c>
      <c r="M272" s="40">
        <f t="shared" si="23"/>
        <v>0.49002159999999956</v>
      </c>
    </row>
    <row r="273" spans="1:13" x14ac:dyDescent="0.25">
      <c r="A273" s="9" t="s">
        <v>291</v>
      </c>
      <c r="B273" s="9" t="s">
        <v>249</v>
      </c>
      <c r="C273" s="9" t="s">
        <v>287</v>
      </c>
      <c r="D273" s="9">
        <v>21</v>
      </c>
      <c r="E273" s="37">
        <f>Daily_Plan!B25</f>
        <v>46316</v>
      </c>
      <c r="F273" s="23">
        <f t="shared" si="20"/>
        <v>245.01079999999979</v>
      </c>
      <c r="G273" s="38">
        <f>Daily_Plan!AB25</f>
        <v>43.276799999999994</v>
      </c>
      <c r="H273" s="38">
        <f>Product_Liftings!G25</f>
        <v>35</v>
      </c>
      <c r="I273" s="39">
        <f t="shared" si="21"/>
        <v>253.28759999999977</v>
      </c>
      <c r="J273" s="38">
        <f>Tank_Master!$E$12</f>
        <v>50</v>
      </c>
      <c r="K273" s="38">
        <f>Tank_Master!$D$12</f>
        <v>500</v>
      </c>
      <c r="L273" s="9" t="str">
        <f t="shared" si="22"/>
        <v>OK</v>
      </c>
      <c r="M273" s="40">
        <f t="shared" si="23"/>
        <v>0.50657519999999956</v>
      </c>
    </row>
    <row r="274" spans="1:13" x14ac:dyDescent="0.25">
      <c r="A274" s="9" t="s">
        <v>291</v>
      </c>
      <c r="B274" s="9" t="s">
        <v>249</v>
      </c>
      <c r="C274" s="9" t="s">
        <v>287</v>
      </c>
      <c r="D274" s="9">
        <v>22</v>
      </c>
      <c r="E274" s="37">
        <f>Daily_Plan!B26</f>
        <v>46317</v>
      </c>
      <c r="F274" s="23">
        <f t="shared" si="20"/>
        <v>253.28759999999977</v>
      </c>
      <c r="G274" s="38">
        <f>Daily_Plan!AB26</f>
        <v>43.276799999999994</v>
      </c>
      <c r="H274" s="38">
        <f>Product_Liftings!G26</f>
        <v>35</v>
      </c>
      <c r="I274" s="39">
        <f t="shared" si="21"/>
        <v>261.56439999999975</v>
      </c>
      <c r="J274" s="38">
        <f>Tank_Master!$E$12</f>
        <v>50</v>
      </c>
      <c r="K274" s="38">
        <f>Tank_Master!$D$12</f>
        <v>500</v>
      </c>
      <c r="L274" s="9" t="str">
        <f t="shared" si="22"/>
        <v>OK</v>
      </c>
      <c r="M274" s="40">
        <f t="shared" si="23"/>
        <v>0.52312879999999951</v>
      </c>
    </row>
    <row r="275" spans="1:13" x14ac:dyDescent="0.25">
      <c r="A275" s="9" t="s">
        <v>291</v>
      </c>
      <c r="B275" s="9" t="s">
        <v>249</v>
      </c>
      <c r="C275" s="9" t="s">
        <v>287</v>
      </c>
      <c r="D275" s="9">
        <v>23</v>
      </c>
      <c r="E275" s="37">
        <f>Daily_Plan!B27</f>
        <v>46318</v>
      </c>
      <c r="F275" s="23">
        <f t="shared" si="20"/>
        <v>261.56439999999975</v>
      </c>
      <c r="G275" s="38">
        <f>Daily_Plan!AB27</f>
        <v>43.276799999999994</v>
      </c>
      <c r="H275" s="38">
        <f>Product_Liftings!G27</f>
        <v>35</v>
      </c>
      <c r="I275" s="39">
        <f t="shared" si="21"/>
        <v>269.84119999999973</v>
      </c>
      <c r="J275" s="38">
        <f>Tank_Master!$E$12</f>
        <v>50</v>
      </c>
      <c r="K275" s="38">
        <f>Tank_Master!$D$12</f>
        <v>500</v>
      </c>
      <c r="L275" s="9" t="str">
        <f t="shared" si="22"/>
        <v>OK</v>
      </c>
      <c r="M275" s="40">
        <f t="shared" si="23"/>
        <v>0.53968239999999945</v>
      </c>
    </row>
    <row r="276" spans="1:13" x14ac:dyDescent="0.25">
      <c r="A276" s="9" t="s">
        <v>291</v>
      </c>
      <c r="B276" s="9" t="s">
        <v>249</v>
      </c>
      <c r="C276" s="9" t="s">
        <v>287</v>
      </c>
      <c r="D276" s="9">
        <v>24</v>
      </c>
      <c r="E276" s="37">
        <f>Daily_Plan!B28</f>
        <v>46319</v>
      </c>
      <c r="F276" s="23">
        <f t="shared" si="20"/>
        <v>269.84119999999973</v>
      </c>
      <c r="G276" s="38">
        <f>Daily_Plan!AB28</f>
        <v>43.276799999999994</v>
      </c>
      <c r="H276" s="38">
        <f>Product_Liftings!G28</f>
        <v>35</v>
      </c>
      <c r="I276" s="39">
        <f t="shared" si="21"/>
        <v>278.11799999999971</v>
      </c>
      <c r="J276" s="38">
        <f>Tank_Master!$E$12</f>
        <v>50</v>
      </c>
      <c r="K276" s="38">
        <f>Tank_Master!$D$12</f>
        <v>500</v>
      </c>
      <c r="L276" s="9" t="str">
        <f t="shared" si="22"/>
        <v>OK</v>
      </c>
      <c r="M276" s="40">
        <f t="shared" si="23"/>
        <v>0.5562359999999994</v>
      </c>
    </row>
    <row r="277" spans="1:13" x14ac:dyDescent="0.25">
      <c r="A277" s="9" t="s">
        <v>291</v>
      </c>
      <c r="B277" s="9" t="s">
        <v>249</v>
      </c>
      <c r="C277" s="9" t="s">
        <v>287</v>
      </c>
      <c r="D277" s="9">
        <v>25</v>
      </c>
      <c r="E277" s="37">
        <f>Daily_Plan!B29</f>
        <v>46320</v>
      </c>
      <c r="F277" s="23">
        <f t="shared" si="20"/>
        <v>278.11799999999971</v>
      </c>
      <c r="G277" s="38">
        <f>Daily_Plan!AB29</f>
        <v>43.276799999999994</v>
      </c>
      <c r="H277" s="38">
        <f>Product_Liftings!G29</f>
        <v>175</v>
      </c>
      <c r="I277" s="39">
        <f t="shared" si="21"/>
        <v>146.39479999999969</v>
      </c>
      <c r="J277" s="38">
        <f>Tank_Master!$E$12</f>
        <v>50</v>
      </c>
      <c r="K277" s="38">
        <f>Tank_Master!$D$12</f>
        <v>500</v>
      </c>
      <c r="L277" s="9" t="str">
        <f t="shared" si="22"/>
        <v>OK</v>
      </c>
      <c r="M277" s="40">
        <f t="shared" si="23"/>
        <v>0.29278959999999937</v>
      </c>
    </row>
    <row r="278" spans="1:13" x14ac:dyDescent="0.25">
      <c r="A278" s="9" t="s">
        <v>291</v>
      </c>
      <c r="B278" s="9" t="s">
        <v>249</v>
      </c>
      <c r="C278" s="9" t="s">
        <v>287</v>
      </c>
      <c r="D278" s="9">
        <v>26</v>
      </c>
      <c r="E278" s="37">
        <f>Daily_Plan!B30</f>
        <v>46321</v>
      </c>
      <c r="F278" s="23">
        <f t="shared" si="20"/>
        <v>146.39479999999969</v>
      </c>
      <c r="G278" s="38">
        <f>Daily_Plan!AB30</f>
        <v>43.276799999999994</v>
      </c>
      <c r="H278" s="38">
        <f>Product_Liftings!G30</f>
        <v>35</v>
      </c>
      <c r="I278" s="39">
        <f t="shared" si="21"/>
        <v>154.67159999999967</v>
      </c>
      <c r="J278" s="38">
        <f>Tank_Master!$E$12</f>
        <v>50</v>
      </c>
      <c r="K278" s="38">
        <f>Tank_Master!$D$12</f>
        <v>500</v>
      </c>
      <c r="L278" s="9" t="str">
        <f t="shared" si="22"/>
        <v>OK</v>
      </c>
      <c r="M278" s="40">
        <f t="shared" si="23"/>
        <v>0.30934319999999932</v>
      </c>
    </row>
    <row r="279" spans="1:13" x14ac:dyDescent="0.25">
      <c r="A279" s="9" t="s">
        <v>291</v>
      </c>
      <c r="B279" s="9" t="s">
        <v>249</v>
      </c>
      <c r="C279" s="9" t="s">
        <v>287</v>
      </c>
      <c r="D279" s="9">
        <v>27</v>
      </c>
      <c r="E279" s="37">
        <f>Daily_Plan!B31</f>
        <v>46322</v>
      </c>
      <c r="F279" s="23">
        <f t="shared" si="20"/>
        <v>154.67159999999967</v>
      </c>
      <c r="G279" s="38">
        <f>Daily_Plan!AB31</f>
        <v>43.276799999999994</v>
      </c>
      <c r="H279" s="38">
        <f>Product_Liftings!G31</f>
        <v>35</v>
      </c>
      <c r="I279" s="39">
        <f t="shared" si="21"/>
        <v>162.94839999999965</v>
      </c>
      <c r="J279" s="38">
        <f>Tank_Master!$E$12</f>
        <v>50</v>
      </c>
      <c r="K279" s="38">
        <f>Tank_Master!$D$12</f>
        <v>500</v>
      </c>
      <c r="L279" s="9" t="str">
        <f t="shared" si="22"/>
        <v>OK</v>
      </c>
      <c r="M279" s="40">
        <f t="shared" si="23"/>
        <v>0.32589679999999932</v>
      </c>
    </row>
    <row r="280" spans="1:13" x14ac:dyDescent="0.25">
      <c r="A280" s="9" t="s">
        <v>291</v>
      </c>
      <c r="B280" s="9" t="s">
        <v>249</v>
      </c>
      <c r="C280" s="9" t="s">
        <v>287</v>
      </c>
      <c r="D280" s="9">
        <v>28</v>
      </c>
      <c r="E280" s="37">
        <f>Daily_Plan!B32</f>
        <v>46323</v>
      </c>
      <c r="F280" s="23">
        <f t="shared" si="20"/>
        <v>162.94839999999965</v>
      </c>
      <c r="G280" s="38">
        <f>Daily_Plan!AB32</f>
        <v>43.276799999999994</v>
      </c>
      <c r="H280" s="38">
        <f>Product_Liftings!G32</f>
        <v>35</v>
      </c>
      <c r="I280" s="39">
        <f t="shared" si="21"/>
        <v>171.22519999999963</v>
      </c>
      <c r="J280" s="38">
        <f>Tank_Master!$E$12</f>
        <v>50</v>
      </c>
      <c r="K280" s="38">
        <f>Tank_Master!$D$12</f>
        <v>500</v>
      </c>
      <c r="L280" s="9" t="str">
        <f t="shared" si="22"/>
        <v>OK</v>
      </c>
      <c r="M280" s="40">
        <f t="shared" si="23"/>
        <v>0.34245039999999927</v>
      </c>
    </row>
    <row r="281" spans="1:13" x14ac:dyDescent="0.25">
      <c r="A281" s="9" t="s">
        <v>291</v>
      </c>
      <c r="B281" s="9" t="s">
        <v>249</v>
      </c>
      <c r="C281" s="9" t="s">
        <v>287</v>
      </c>
      <c r="D281" s="9">
        <v>29</v>
      </c>
      <c r="E281" s="37">
        <f>Daily_Plan!B33</f>
        <v>46324</v>
      </c>
      <c r="F281" s="23">
        <f t="shared" si="20"/>
        <v>171.22519999999963</v>
      </c>
      <c r="G281" s="38">
        <f>Daily_Plan!AB33</f>
        <v>43.276799999999994</v>
      </c>
      <c r="H281" s="38">
        <f>Product_Liftings!G33</f>
        <v>35</v>
      </c>
      <c r="I281" s="39">
        <f t="shared" si="21"/>
        <v>179.50199999999961</v>
      </c>
      <c r="J281" s="38">
        <f>Tank_Master!$E$12</f>
        <v>50</v>
      </c>
      <c r="K281" s="38">
        <f>Tank_Master!$D$12</f>
        <v>500</v>
      </c>
      <c r="L281" s="9" t="str">
        <f t="shared" si="22"/>
        <v>OK</v>
      </c>
      <c r="M281" s="40">
        <f t="shared" si="23"/>
        <v>0.35900399999999921</v>
      </c>
    </row>
    <row r="282" spans="1:13" x14ac:dyDescent="0.25">
      <c r="A282" s="9" t="s">
        <v>291</v>
      </c>
      <c r="B282" s="9" t="s">
        <v>249</v>
      </c>
      <c r="C282" s="9" t="s">
        <v>287</v>
      </c>
      <c r="D282" s="9">
        <v>30</v>
      </c>
      <c r="E282" s="37">
        <f>Daily_Plan!B34</f>
        <v>46325</v>
      </c>
      <c r="F282" s="23">
        <f t="shared" si="20"/>
        <v>179.50199999999961</v>
      </c>
      <c r="G282" s="38">
        <f>Daily_Plan!AB34</f>
        <v>43.276799999999994</v>
      </c>
      <c r="H282" s="38">
        <f>Product_Liftings!G34</f>
        <v>35</v>
      </c>
      <c r="I282" s="39">
        <f t="shared" si="21"/>
        <v>187.77879999999959</v>
      </c>
      <c r="J282" s="38">
        <f>Tank_Master!$E$12</f>
        <v>50</v>
      </c>
      <c r="K282" s="38">
        <f>Tank_Master!$D$12</f>
        <v>500</v>
      </c>
      <c r="L282" s="9" t="str">
        <f t="shared" si="22"/>
        <v>OK</v>
      </c>
      <c r="M282" s="40">
        <f t="shared" si="23"/>
        <v>0.37555759999999916</v>
      </c>
    </row>
    <row r="283" spans="1:13" x14ac:dyDescent="0.25">
      <c r="A283" s="9" t="s">
        <v>291</v>
      </c>
      <c r="B283" s="9" t="s">
        <v>249</v>
      </c>
      <c r="C283" s="9" t="s">
        <v>287</v>
      </c>
      <c r="D283" s="9">
        <v>31</v>
      </c>
      <c r="E283" s="37">
        <f>Daily_Plan!B35</f>
        <v>46326</v>
      </c>
      <c r="F283" s="23">
        <f t="shared" si="20"/>
        <v>187.77879999999959</v>
      </c>
      <c r="G283" s="38">
        <f>Daily_Plan!AB35</f>
        <v>43.276799999999994</v>
      </c>
      <c r="H283" s="38">
        <f>Product_Liftings!G35</f>
        <v>35</v>
      </c>
      <c r="I283" s="39">
        <f t="shared" si="21"/>
        <v>196.05559999999957</v>
      </c>
      <c r="J283" s="38">
        <f>Tank_Master!$E$12</f>
        <v>50</v>
      </c>
      <c r="K283" s="38">
        <f>Tank_Master!$D$12</f>
        <v>500</v>
      </c>
      <c r="L283" s="9" t="str">
        <f t="shared" si="22"/>
        <v>OK</v>
      </c>
      <c r="M283" s="40">
        <f t="shared" si="23"/>
        <v>0.39211119999999916</v>
      </c>
    </row>
    <row r="284" spans="1:13" x14ac:dyDescent="0.25">
      <c r="A284" s="9" t="s">
        <v>292</v>
      </c>
      <c r="B284" s="9" t="s">
        <v>250</v>
      </c>
      <c r="C284" s="9" t="s">
        <v>287</v>
      </c>
      <c r="D284" s="9">
        <v>1</v>
      </c>
      <c r="E284" s="37">
        <f>Daily_Plan!B5</f>
        <v>46296</v>
      </c>
      <c r="F284" s="38">
        <f>Tank_Master!$F$13</f>
        <v>180</v>
      </c>
      <c r="G284" s="38">
        <f>Daily_Plan!AC5</f>
        <v>21.320000000000007</v>
      </c>
      <c r="H284" s="38">
        <f>Product_Liftings!H5</f>
        <v>0</v>
      </c>
      <c r="I284" s="39">
        <f t="shared" si="21"/>
        <v>201.32</v>
      </c>
      <c r="J284" s="38">
        <f>Tank_Master!$E$13</f>
        <v>40</v>
      </c>
      <c r="K284" s="38">
        <f>Tank_Master!$D$13</f>
        <v>400</v>
      </c>
      <c r="L284" s="9" t="str">
        <f t="shared" si="22"/>
        <v>OK</v>
      </c>
      <c r="M284" s="40">
        <f t="shared" si="23"/>
        <v>0.50329999999999997</v>
      </c>
    </row>
    <row r="285" spans="1:13" x14ac:dyDescent="0.25">
      <c r="A285" s="9" t="s">
        <v>292</v>
      </c>
      <c r="B285" s="9" t="s">
        <v>250</v>
      </c>
      <c r="C285" s="9" t="s">
        <v>287</v>
      </c>
      <c r="D285" s="9">
        <v>2</v>
      </c>
      <c r="E285" s="37">
        <f>Daily_Plan!B6</f>
        <v>46297</v>
      </c>
      <c r="F285" s="23">
        <f t="shared" ref="F285:F314" si="24">I284</f>
        <v>201.32</v>
      </c>
      <c r="G285" s="38">
        <f>Daily_Plan!AC6</f>
        <v>21.320000000000007</v>
      </c>
      <c r="H285" s="38">
        <f>Product_Liftings!H6</f>
        <v>0</v>
      </c>
      <c r="I285" s="39">
        <f t="shared" si="21"/>
        <v>222.64</v>
      </c>
      <c r="J285" s="38">
        <f>Tank_Master!$E$13</f>
        <v>40</v>
      </c>
      <c r="K285" s="38">
        <f>Tank_Master!$D$13</f>
        <v>400</v>
      </c>
      <c r="L285" s="9" t="str">
        <f t="shared" si="22"/>
        <v>OK</v>
      </c>
      <c r="M285" s="40">
        <f t="shared" si="23"/>
        <v>0.55659999999999998</v>
      </c>
    </row>
    <row r="286" spans="1:13" x14ac:dyDescent="0.25">
      <c r="A286" s="9" t="s">
        <v>292</v>
      </c>
      <c r="B286" s="9" t="s">
        <v>250</v>
      </c>
      <c r="C286" s="9" t="s">
        <v>287</v>
      </c>
      <c r="D286" s="9">
        <v>3</v>
      </c>
      <c r="E286" s="37">
        <f>Daily_Plan!B7</f>
        <v>46298</v>
      </c>
      <c r="F286" s="23">
        <f t="shared" si="24"/>
        <v>222.64</v>
      </c>
      <c r="G286" s="38">
        <f>Daily_Plan!AC7</f>
        <v>20.419999999999998</v>
      </c>
      <c r="H286" s="38">
        <f>Product_Liftings!H7</f>
        <v>0</v>
      </c>
      <c r="I286" s="39">
        <f t="shared" si="21"/>
        <v>243.05999999999997</v>
      </c>
      <c r="J286" s="38">
        <f>Tank_Master!$E$13</f>
        <v>40</v>
      </c>
      <c r="K286" s="38">
        <f>Tank_Master!$D$13</f>
        <v>400</v>
      </c>
      <c r="L286" s="9" t="str">
        <f t="shared" si="22"/>
        <v>OK</v>
      </c>
      <c r="M286" s="40">
        <f t="shared" si="23"/>
        <v>0.60764999999999991</v>
      </c>
    </row>
    <row r="287" spans="1:13" x14ac:dyDescent="0.25">
      <c r="A287" s="9" t="s">
        <v>292</v>
      </c>
      <c r="B287" s="9" t="s">
        <v>250</v>
      </c>
      <c r="C287" s="9" t="s">
        <v>287</v>
      </c>
      <c r="D287" s="9">
        <v>4</v>
      </c>
      <c r="E287" s="37">
        <f>Daily_Plan!B8</f>
        <v>46299</v>
      </c>
      <c r="F287" s="23">
        <f t="shared" si="24"/>
        <v>243.05999999999997</v>
      </c>
      <c r="G287" s="38">
        <f>Daily_Plan!AC8</f>
        <v>20.52</v>
      </c>
      <c r="H287" s="38">
        <f>Product_Liftings!H8</f>
        <v>0</v>
      </c>
      <c r="I287" s="39">
        <f t="shared" si="21"/>
        <v>263.58</v>
      </c>
      <c r="J287" s="38">
        <f>Tank_Master!$E$13</f>
        <v>40</v>
      </c>
      <c r="K287" s="38">
        <f>Tank_Master!$D$13</f>
        <v>400</v>
      </c>
      <c r="L287" s="9" t="str">
        <f t="shared" si="22"/>
        <v>OK</v>
      </c>
      <c r="M287" s="40">
        <f t="shared" si="23"/>
        <v>0.65894999999999992</v>
      </c>
    </row>
    <row r="288" spans="1:13" x14ac:dyDescent="0.25">
      <c r="A288" s="9" t="s">
        <v>292</v>
      </c>
      <c r="B288" s="9" t="s">
        <v>250</v>
      </c>
      <c r="C288" s="9" t="s">
        <v>287</v>
      </c>
      <c r="D288" s="9">
        <v>5</v>
      </c>
      <c r="E288" s="37">
        <f>Daily_Plan!B9</f>
        <v>46300</v>
      </c>
      <c r="F288" s="23">
        <f t="shared" si="24"/>
        <v>263.58</v>
      </c>
      <c r="G288" s="38">
        <f>Daily_Plan!AC9</f>
        <v>18.78</v>
      </c>
      <c r="H288" s="38">
        <f>Product_Liftings!H9</f>
        <v>0</v>
      </c>
      <c r="I288" s="39">
        <f t="shared" si="21"/>
        <v>282.36</v>
      </c>
      <c r="J288" s="38">
        <f>Tank_Master!$E$13</f>
        <v>40</v>
      </c>
      <c r="K288" s="38">
        <f>Tank_Master!$D$13</f>
        <v>400</v>
      </c>
      <c r="L288" s="9" t="str">
        <f t="shared" si="22"/>
        <v>OK</v>
      </c>
      <c r="M288" s="40">
        <f t="shared" si="23"/>
        <v>0.70590000000000008</v>
      </c>
    </row>
    <row r="289" spans="1:13" x14ac:dyDescent="0.25">
      <c r="A289" s="9" t="s">
        <v>292</v>
      </c>
      <c r="B289" s="9" t="s">
        <v>250</v>
      </c>
      <c r="C289" s="9" t="s">
        <v>287</v>
      </c>
      <c r="D289" s="9">
        <v>6</v>
      </c>
      <c r="E289" s="37">
        <f>Daily_Plan!B10</f>
        <v>46301</v>
      </c>
      <c r="F289" s="23">
        <f t="shared" si="24"/>
        <v>282.36</v>
      </c>
      <c r="G289" s="38">
        <f>Daily_Plan!AC10</f>
        <v>19.350000000000005</v>
      </c>
      <c r="H289" s="38">
        <f>Product_Liftings!H10</f>
        <v>200</v>
      </c>
      <c r="I289" s="39">
        <f t="shared" si="21"/>
        <v>101.71000000000004</v>
      </c>
      <c r="J289" s="38">
        <f>Tank_Master!$E$13</f>
        <v>40</v>
      </c>
      <c r="K289" s="38">
        <f>Tank_Master!$D$13</f>
        <v>400</v>
      </c>
      <c r="L289" s="9" t="str">
        <f t="shared" si="22"/>
        <v>OK</v>
      </c>
      <c r="M289" s="40">
        <f t="shared" si="23"/>
        <v>0.25427500000000008</v>
      </c>
    </row>
    <row r="290" spans="1:13" x14ac:dyDescent="0.25">
      <c r="A290" s="9" t="s">
        <v>292</v>
      </c>
      <c r="B290" s="9" t="s">
        <v>250</v>
      </c>
      <c r="C290" s="9" t="s">
        <v>287</v>
      </c>
      <c r="D290" s="9">
        <v>7</v>
      </c>
      <c r="E290" s="37">
        <f>Daily_Plan!B11</f>
        <v>46302</v>
      </c>
      <c r="F290" s="23">
        <f t="shared" si="24"/>
        <v>101.71000000000004</v>
      </c>
      <c r="G290" s="38">
        <f>Daily_Plan!AC11</f>
        <v>20.190000000000005</v>
      </c>
      <c r="H290" s="38">
        <f>Product_Liftings!H11</f>
        <v>0</v>
      </c>
      <c r="I290" s="39">
        <f t="shared" si="21"/>
        <v>121.90000000000003</v>
      </c>
      <c r="J290" s="38">
        <f>Tank_Master!$E$13</f>
        <v>40</v>
      </c>
      <c r="K290" s="38">
        <f>Tank_Master!$D$13</f>
        <v>400</v>
      </c>
      <c r="L290" s="9" t="str">
        <f t="shared" si="22"/>
        <v>OK</v>
      </c>
      <c r="M290" s="40">
        <f t="shared" si="23"/>
        <v>0.30475000000000008</v>
      </c>
    </row>
    <row r="291" spans="1:13" x14ac:dyDescent="0.25">
      <c r="A291" s="9" t="s">
        <v>292</v>
      </c>
      <c r="B291" s="9" t="s">
        <v>250</v>
      </c>
      <c r="C291" s="9" t="s">
        <v>287</v>
      </c>
      <c r="D291" s="9">
        <v>8</v>
      </c>
      <c r="E291" s="37">
        <f>Daily_Plan!B12</f>
        <v>46303</v>
      </c>
      <c r="F291" s="23">
        <f t="shared" si="24"/>
        <v>121.90000000000003</v>
      </c>
      <c r="G291" s="38">
        <f>Daily_Plan!AC12</f>
        <v>20.380000000000006</v>
      </c>
      <c r="H291" s="38">
        <f>Product_Liftings!H12</f>
        <v>0</v>
      </c>
      <c r="I291" s="39">
        <f t="shared" si="21"/>
        <v>142.28000000000003</v>
      </c>
      <c r="J291" s="38">
        <f>Tank_Master!$E$13</f>
        <v>40</v>
      </c>
      <c r="K291" s="38">
        <f>Tank_Master!$D$13</f>
        <v>400</v>
      </c>
      <c r="L291" s="9" t="str">
        <f t="shared" si="22"/>
        <v>OK</v>
      </c>
      <c r="M291" s="40">
        <f t="shared" si="23"/>
        <v>0.35570000000000007</v>
      </c>
    </row>
    <row r="292" spans="1:13" x14ac:dyDescent="0.25">
      <c r="A292" s="9" t="s">
        <v>292</v>
      </c>
      <c r="B292" s="9" t="s">
        <v>250</v>
      </c>
      <c r="C292" s="9" t="s">
        <v>287</v>
      </c>
      <c r="D292" s="9">
        <v>9</v>
      </c>
      <c r="E292" s="37">
        <f>Daily_Plan!B13</f>
        <v>46304</v>
      </c>
      <c r="F292" s="23">
        <f t="shared" si="24"/>
        <v>142.28000000000003</v>
      </c>
      <c r="G292" s="38">
        <f>Daily_Plan!AC13</f>
        <v>20.350000000000005</v>
      </c>
      <c r="H292" s="38">
        <f>Product_Liftings!H13</f>
        <v>0</v>
      </c>
      <c r="I292" s="39">
        <f t="shared" si="21"/>
        <v>162.63000000000002</v>
      </c>
      <c r="J292" s="38">
        <f>Tank_Master!$E$13</f>
        <v>40</v>
      </c>
      <c r="K292" s="38">
        <f>Tank_Master!$D$13</f>
        <v>400</v>
      </c>
      <c r="L292" s="9" t="str">
        <f t="shared" si="22"/>
        <v>OK</v>
      </c>
      <c r="M292" s="40">
        <f t="shared" si="23"/>
        <v>0.40657500000000008</v>
      </c>
    </row>
    <row r="293" spans="1:13" x14ac:dyDescent="0.25">
      <c r="A293" s="9" t="s">
        <v>292</v>
      </c>
      <c r="B293" s="9" t="s">
        <v>250</v>
      </c>
      <c r="C293" s="9" t="s">
        <v>287</v>
      </c>
      <c r="D293" s="9">
        <v>10</v>
      </c>
      <c r="E293" s="37">
        <f>Daily_Plan!B14</f>
        <v>46305</v>
      </c>
      <c r="F293" s="23">
        <f t="shared" si="24"/>
        <v>162.63000000000002</v>
      </c>
      <c r="G293" s="38">
        <f>Daily_Plan!AC14</f>
        <v>21.320000000000007</v>
      </c>
      <c r="H293" s="38">
        <f>Product_Liftings!H14</f>
        <v>0</v>
      </c>
      <c r="I293" s="39">
        <f t="shared" si="21"/>
        <v>183.95000000000005</v>
      </c>
      <c r="J293" s="38">
        <f>Tank_Master!$E$13</f>
        <v>40</v>
      </c>
      <c r="K293" s="38">
        <f>Tank_Master!$D$13</f>
        <v>400</v>
      </c>
      <c r="L293" s="9" t="str">
        <f t="shared" si="22"/>
        <v>OK</v>
      </c>
      <c r="M293" s="40">
        <f t="shared" si="23"/>
        <v>0.45987500000000009</v>
      </c>
    </row>
    <row r="294" spans="1:13" x14ac:dyDescent="0.25">
      <c r="A294" s="9" t="s">
        <v>292</v>
      </c>
      <c r="B294" s="9" t="s">
        <v>250</v>
      </c>
      <c r="C294" s="9" t="s">
        <v>287</v>
      </c>
      <c r="D294" s="9">
        <v>11</v>
      </c>
      <c r="E294" s="37">
        <f>Daily_Plan!B15</f>
        <v>46306</v>
      </c>
      <c r="F294" s="23">
        <f t="shared" si="24"/>
        <v>183.95000000000005</v>
      </c>
      <c r="G294" s="38">
        <f>Daily_Plan!AC15</f>
        <v>21.320000000000007</v>
      </c>
      <c r="H294" s="38">
        <f>Product_Liftings!H15</f>
        <v>0</v>
      </c>
      <c r="I294" s="39">
        <f t="shared" si="21"/>
        <v>205.27000000000004</v>
      </c>
      <c r="J294" s="38">
        <f>Tank_Master!$E$13</f>
        <v>40</v>
      </c>
      <c r="K294" s="38">
        <f>Tank_Master!$D$13</f>
        <v>400</v>
      </c>
      <c r="L294" s="9" t="str">
        <f t="shared" si="22"/>
        <v>OK</v>
      </c>
      <c r="M294" s="40">
        <f t="shared" si="23"/>
        <v>0.51317500000000005</v>
      </c>
    </row>
    <row r="295" spans="1:13" x14ac:dyDescent="0.25">
      <c r="A295" s="9" t="s">
        <v>292</v>
      </c>
      <c r="B295" s="9" t="s">
        <v>250</v>
      </c>
      <c r="C295" s="9" t="s">
        <v>287</v>
      </c>
      <c r="D295" s="9">
        <v>12</v>
      </c>
      <c r="E295" s="37">
        <f>Daily_Plan!B16</f>
        <v>46307</v>
      </c>
      <c r="F295" s="23">
        <f t="shared" si="24"/>
        <v>205.27000000000004</v>
      </c>
      <c r="G295" s="38">
        <f>Daily_Plan!AC16</f>
        <v>21.320000000000007</v>
      </c>
      <c r="H295" s="38">
        <f>Product_Liftings!H16</f>
        <v>0</v>
      </c>
      <c r="I295" s="39">
        <f t="shared" si="21"/>
        <v>226.59000000000003</v>
      </c>
      <c r="J295" s="38">
        <f>Tank_Master!$E$13</f>
        <v>40</v>
      </c>
      <c r="K295" s="38">
        <f>Tank_Master!$D$13</f>
        <v>400</v>
      </c>
      <c r="L295" s="9" t="str">
        <f t="shared" si="22"/>
        <v>OK</v>
      </c>
      <c r="M295" s="40">
        <f t="shared" si="23"/>
        <v>0.56647500000000006</v>
      </c>
    </row>
    <row r="296" spans="1:13" x14ac:dyDescent="0.25">
      <c r="A296" s="9" t="s">
        <v>292</v>
      </c>
      <c r="B296" s="9" t="s">
        <v>250</v>
      </c>
      <c r="C296" s="9" t="s">
        <v>287</v>
      </c>
      <c r="D296" s="9">
        <v>13</v>
      </c>
      <c r="E296" s="37">
        <f>Daily_Plan!B17</f>
        <v>46308</v>
      </c>
      <c r="F296" s="23">
        <f t="shared" si="24"/>
        <v>226.59000000000003</v>
      </c>
      <c r="G296" s="38">
        <f>Daily_Plan!AC17</f>
        <v>21.320000000000007</v>
      </c>
      <c r="H296" s="38">
        <f>Product_Liftings!H17</f>
        <v>0</v>
      </c>
      <c r="I296" s="39">
        <f t="shared" si="21"/>
        <v>247.91000000000003</v>
      </c>
      <c r="J296" s="38">
        <f>Tank_Master!$E$13</f>
        <v>40</v>
      </c>
      <c r="K296" s="38">
        <f>Tank_Master!$D$13</f>
        <v>400</v>
      </c>
      <c r="L296" s="9" t="str">
        <f t="shared" si="22"/>
        <v>OK</v>
      </c>
      <c r="M296" s="40">
        <f t="shared" si="23"/>
        <v>0.61977500000000008</v>
      </c>
    </row>
    <row r="297" spans="1:13" x14ac:dyDescent="0.25">
      <c r="A297" s="9" t="s">
        <v>292</v>
      </c>
      <c r="B297" s="9" t="s">
        <v>250</v>
      </c>
      <c r="C297" s="9" t="s">
        <v>287</v>
      </c>
      <c r="D297" s="9">
        <v>14</v>
      </c>
      <c r="E297" s="37">
        <f>Daily_Plan!B18</f>
        <v>46309</v>
      </c>
      <c r="F297" s="23">
        <f t="shared" si="24"/>
        <v>247.91000000000003</v>
      </c>
      <c r="G297" s="38">
        <f>Daily_Plan!AC18</f>
        <v>21.320000000000007</v>
      </c>
      <c r="H297" s="38">
        <f>Product_Liftings!H18</f>
        <v>0</v>
      </c>
      <c r="I297" s="39">
        <f t="shared" si="21"/>
        <v>269.23</v>
      </c>
      <c r="J297" s="38">
        <f>Tank_Master!$E$13</f>
        <v>40</v>
      </c>
      <c r="K297" s="38">
        <f>Tank_Master!$D$13</f>
        <v>400</v>
      </c>
      <c r="L297" s="9" t="str">
        <f t="shared" si="22"/>
        <v>OK</v>
      </c>
      <c r="M297" s="40">
        <f t="shared" si="23"/>
        <v>0.67307500000000009</v>
      </c>
    </row>
    <row r="298" spans="1:13" x14ac:dyDescent="0.25">
      <c r="A298" s="9" t="s">
        <v>292</v>
      </c>
      <c r="B298" s="9" t="s">
        <v>250</v>
      </c>
      <c r="C298" s="9" t="s">
        <v>287</v>
      </c>
      <c r="D298" s="9">
        <v>15</v>
      </c>
      <c r="E298" s="37">
        <f>Daily_Plan!B19</f>
        <v>46310</v>
      </c>
      <c r="F298" s="23">
        <f t="shared" si="24"/>
        <v>269.23</v>
      </c>
      <c r="G298" s="38">
        <f>Daily_Plan!AC19</f>
        <v>21.320000000000007</v>
      </c>
      <c r="H298" s="38">
        <f>Product_Liftings!H19</f>
        <v>0</v>
      </c>
      <c r="I298" s="39">
        <f t="shared" si="21"/>
        <v>290.55</v>
      </c>
      <c r="J298" s="38">
        <f>Tank_Master!$E$13</f>
        <v>40</v>
      </c>
      <c r="K298" s="38">
        <f>Tank_Master!$D$13</f>
        <v>400</v>
      </c>
      <c r="L298" s="9" t="str">
        <f t="shared" si="22"/>
        <v>OK</v>
      </c>
      <c r="M298" s="40">
        <f t="shared" si="23"/>
        <v>0.72637499999999999</v>
      </c>
    </row>
    <row r="299" spans="1:13" x14ac:dyDescent="0.25">
      <c r="A299" s="9" t="s">
        <v>292</v>
      </c>
      <c r="B299" s="9" t="s">
        <v>250</v>
      </c>
      <c r="C299" s="9" t="s">
        <v>287</v>
      </c>
      <c r="D299" s="9">
        <v>16</v>
      </c>
      <c r="E299" s="37">
        <f>Daily_Plan!B20</f>
        <v>46311</v>
      </c>
      <c r="F299" s="23">
        <f t="shared" si="24"/>
        <v>290.55</v>
      </c>
      <c r="G299" s="38">
        <f>Daily_Plan!AC20</f>
        <v>21.320000000000007</v>
      </c>
      <c r="H299" s="38">
        <f>Product_Liftings!H20</f>
        <v>0</v>
      </c>
      <c r="I299" s="39">
        <f t="shared" si="21"/>
        <v>311.87</v>
      </c>
      <c r="J299" s="38">
        <f>Tank_Master!$E$13</f>
        <v>40</v>
      </c>
      <c r="K299" s="38">
        <f>Tank_Master!$D$13</f>
        <v>400</v>
      </c>
      <c r="L299" s="9" t="str">
        <f t="shared" si="22"/>
        <v>OK</v>
      </c>
      <c r="M299" s="40">
        <f t="shared" si="23"/>
        <v>0.77967500000000001</v>
      </c>
    </row>
    <row r="300" spans="1:13" x14ac:dyDescent="0.25">
      <c r="A300" s="9" t="s">
        <v>292</v>
      </c>
      <c r="B300" s="9" t="s">
        <v>250</v>
      </c>
      <c r="C300" s="9" t="s">
        <v>287</v>
      </c>
      <c r="D300" s="9">
        <v>17</v>
      </c>
      <c r="E300" s="37">
        <f>Daily_Plan!B21</f>
        <v>46312</v>
      </c>
      <c r="F300" s="23">
        <f t="shared" si="24"/>
        <v>311.87</v>
      </c>
      <c r="G300" s="38">
        <f>Daily_Plan!AC21</f>
        <v>21.320000000000007</v>
      </c>
      <c r="H300" s="38">
        <f>Product_Liftings!H21</f>
        <v>0</v>
      </c>
      <c r="I300" s="39">
        <f t="shared" si="21"/>
        <v>333.19</v>
      </c>
      <c r="J300" s="38">
        <f>Tank_Master!$E$13</f>
        <v>40</v>
      </c>
      <c r="K300" s="38">
        <f>Tank_Master!$D$13</f>
        <v>400</v>
      </c>
      <c r="L300" s="9" t="str">
        <f t="shared" si="22"/>
        <v>OK</v>
      </c>
      <c r="M300" s="40">
        <f t="shared" si="23"/>
        <v>0.83297500000000002</v>
      </c>
    </row>
    <row r="301" spans="1:13" x14ac:dyDescent="0.25">
      <c r="A301" s="9" t="s">
        <v>292</v>
      </c>
      <c r="B301" s="9" t="s">
        <v>250</v>
      </c>
      <c r="C301" s="9" t="s">
        <v>287</v>
      </c>
      <c r="D301" s="9">
        <v>18</v>
      </c>
      <c r="E301" s="37">
        <f>Daily_Plan!B22</f>
        <v>46313</v>
      </c>
      <c r="F301" s="23">
        <f t="shared" si="24"/>
        <v>333.19</v>
      </c>
      <c r="G301" s="38">
        <f>Daily_Plan!AC22</f>
        <v>21.320000000000007</v>
      </c>
      <c r="H301" s="38">
        <f>Product_Liftings!H22</f>
        <v>200</v>
      </c>
      <c r="I301" s="39">
        <f t="shared" si="21"/>
        <v>154.51</v>
      </c>
      <c r="J301" s="38">
        <f>Tank_Master!$E$13</f>
        <v>40</v>
      </c>
      <c r="K301" s="38">
        <f>Tank_Master!$D$13</f>
        <v>400</v>
      </c>
      <c r="L301" s="9" t="str">
        <f t="shared" si="22"/>
        <v>OK</v>
      </c>
      <c r="M301" s="40">
        <f t="shared" si="23"/>
        <v>0.38627499999999998</v>
      </c>
    </row>
    <row r="302" spans="1:13" x14ac:dyDescent="0.25">
      <c r="A302" s="9" t="s">
        <v>292</v>
      </c>
      <c r="B302" s="9" t="s">
        <v>250</v>
      </c>
      <c r="C302" s="9" t="s">
        <v>287</v>
      </c>
      <c r="D302" s="9">
        <v>19</v>
      </c>
      <c r="E302" s="37">
        <f>Daily_Plan!B23</f>
        <v>46314</v>
      </c>
      <c r="F302" s="23">
        <f t="shared" si="24"/>
        <v>154.51</v>
      </c>
      <c r="G302" s="38">
        <f>Daily_Plan!AC23</f>
        <v>21.320000000000007</v>
      </c>
      <c r="H302" s="38">
        <f>Product_Liftings!H23</f>
        <v>0</v>
      </c>
      <c r="I302" s="39">
        <f t="shared" si="21"/>
        <v>175.82999999999998</v>
      </c>
      <c r="J302" s="38">
        <f>Tank_Master!$E$13</f>
        <v>40</v>
      </c>
      <c r="K302" s="38">
        <f>Tank_Master!$D$13</f>
        <v>400</v>
      </c>
      <c r="L302" s="9" t="str">
        <f t="shared" si="22"/>
        <v>OK</v>
      </c>
      <c r="M302" s="40">
        <f t="shared" si="23"/>
        <v>0.43957499999999994</v>
      </c>
    </row>
    <row r="303" spans="1:13" x14ac:dyDescent="0.25">
      <c r="A303" s="9" t="s">
        <v>292</v>
      </c>
      <c r="B303" s="9" t="s">
        <v>250</v>
      </c>
      <c r="C303" s="9" t="s">
        <v>287</v>
      </c>
      <c r="D303" s="9">
        <v>20</v>
      </c>
      <c r="E303" s="37">
        <f>Daily_Plan!B24</f>
        <v>46315</v>
      </c>
      <c r="F303" s="23">
        <f t="shared" si="24"/>
        <v>175.82999999999998</v>
      </c>
      <c r="G303" s="38">
        <f>Daily_Plan!AC24</f>
        <v>21.320000000000007</v>
      </c>
      <c r="H303" s="38">
        <f>Product_Liftings!H24</f>
        <v>0</v>
      </c>
      <c r="I303" s="39">
        <f t="shared" si="21"/>
        <v>197.14999999999998</v>
      </c>
      <c r="J303" s="38">
        <f>Tank_Master!$E$13</f>
        <v>40</v>
      </c>
      <c r="K303" s="38">
        <f>Tank_Master!$D$13</f>
        <v>400</v>
      </c>
      <c r="L303" s="9" t="str">
        <f t="shared" si="22"/>
        <v>OK</v>
      </c>
      <c r="M303" s="40">
        <f t="shared" si="23"/>
        <v>0.49287499999999995</v>
      </c>
    </row>
    <row r="304" spans="1:13" x14ac:dyDescent="0.25">
      <c r="A304" s="9" t="s">
        <v>292</v>
      </c>
      <c r="B304" s="9" t="s">
        <v>250</v>
      </c>
      <c r="C304" s="9" t="s">
        <v>287</v>
      </c>
      <c r="D304" s="9">
        <v>21</v>
      </c>
      <c r="E304" s="37">
        <f>Daily_Plan!B25</f>
        <v>46316</v>
      </c>
      <c r="F304" s="23">
        <f t="shared" si="24"/>
        <v>197.14999999999998</v>
      </c>
      <c r="G304" s="38">
        <f>Daily_Plan!AC25</f>
        <v>21.320000000000007</v>
      </c>
      <c r="H304" s="38">
        <f>Product_Liftings!H25</f>
        <v>0</v>
      </c>
      <c r="I304" s="39">
        <f t="shared" si="21"/>
        <v>218.46999999999997</v>
      </c>
      <c r="J304" s="38">
        <f>Tank_Master!$E$13</f>
        <v>40</v>
      </c>
      <c r="K304" s="38">
        <f>Tank_Master!$D$13</f>
        <v>400</v>
      </c>
      <c r="L304" s="9" t="str">
        <f t="shared" si="22"/>
        <v>OK</v>
      </c>
      <c r="M304" s="40">
        <f t="shared" si="23"/>
        <v>0.54617499999999997</v>
      </c>
    </row>
    <row r="305" spans="1:13" x14ac:dyDescent="0.25">
      <c r="A305" s="9" t="s">
        <v>292</v>
      </c>
      <c r="B305" s="9" t="s">
        <v>250</v>
      </c>
      <c r="C305" s="9" t="s">
        <v>287</v>
      </c>
      <c r="D305" s="9">
        <v>22</v>
      </c>
      <c r="E305" s="37">
        <f>Daily_Plan!B26</f>
        <v>46317</v>
      </c>
      <c r="F305" s="23">
        <f t="shared" si="24"/>
        <v>218.46999999999997</v>
      </c>
      <c r="G305" s="38">
        <f>Daily_Plan!AC26</f>
        <v>21.320000000000007</v>
      </c>
      <c r="H305" s="38">
        <f>Product_Liftings!H26</f>
        <v>0</v>
      </c>
      <c r="I305" s="39">
        <f t="shared" si="21"/>
        <v>239.78999999999996</v>
      </c>
      <c r="J305" s="38">
        <f>Tank_Master!$E$13</f>
        <v>40</v>
      </c>
      <c r="K305" s="38">
        <f>Tank_Master!$D$13</f>
        <v>400</v>
      </c>
      <c r="L305" s="9" t="str">
        <f t="shared" si="22"/>
        <v>OK</v>
      </c>
      <c r="M305" s="40">
        <f t="shared" si="23"/>
        <v>0.59947499999999987</v>
      </c>
    </row>
    <row r="306" spans="1:13" x14ac:dyDescent="0.25">
      <c r="A306" s="9" t="s">
        <v>292</v>
      </c>
      <c r="B306" s="9" t="s">
        <v>250</v>
      </c>
      <c r="C306" s="9" t="s">
        <v>287</v>
      </c>
      <c r="D306" s="9">
        <v>23</v>
      </c>
      <c r="E306" s="37">
        <f>Daily_Plan!B27</f>
        <v>46318</v>
      </c>
      <c r="F306" s="23">
        <f t="shared" si="24"/>
        <v>239.78999999999996</v>
      </c>
      <c r="G306" s="38">
        <f>Daily_Plan!AC27</f>
        <v>21.320000000000007</v>
      </c>
      <c r="H306" s="38">
        <f>Product_Liftings!H27</f>
        <v>0</v>
      </c>
      <c r="I306" s="39">
        <f t="shared" si="21"/>
        <v>261.10999999999996</v>
      </c>
      <c r="J306" s="38">
        <f>Tank_Master!$E$13</f>
        <v>40</v>
      </c>
      <c r="K306" s="38">
        <f>Tank_Master!$D$13</f>
        <v>400</v>
      </c>
      <c r="L306" s="9" t="str">
        <f t="shared" si="22"/>
        <v>OK</v>
      </c>
      <c r="M306" s="40">
        <f t="shared" si="23"/>
        <v>0.65277499999999988</v>
      </c>
    </row>
    <row r="307" spans="1:13" x14ac:dyDescent="0.25">
      <c r="A307" s="9" t="s">
        <v>292</v>
      </c>
      <c r="B307" s="9" t="s">
        <v>250</v>
      </c>
      <c r="C307" s="9" t="s">
        <v>287</v>
      </c>
      <c r="D307" s="9">
        <v>24</v>
      </c>
      <c r="E307" s="37">
        <f>Daily_Plan!B28</f>
        <v>46319</v>
      </c>
      <c r="F307" s="23">
        <f t="shared" si="24"/>
        <v>261.10999999999996</v>
      </c>
      <c r="G307" s="38">
        <f>Daily_Plan!AC28</f>
        <v>21.320000000000007</v>
      </c>
      <c r="H307" s="38">
        <f>Product_Liftings!H28</f>
        <v>0</v>
      </c>
      <c r="I307" s="39">
        <f t="shared" si="21"/>
        <v>282.42999999999995</v>
      </c>
      <c r="J307" s="38">
        <f>Tank_Master!$E$13</f>
        <v>40</v>
      </c>
      <c r="K307" s="38">
        <f>Tank_Master!$D$13</f>
        <v>400</v>
      </c>
      <c r="L307" s="9" t="str">
        <f t="shared" si="22"/>
        <v>OK</v>
      </c>
      <c r="M307" s="40">
        <f t="shared" si="23"/>
        <v>0.7060749999999999</v>
      </c>
    </row>
    <row r="308" spans="1:13" x14ac:dyDescent="0.25">
      <c r="A308" s="9" t="s">
        <v>292</v>
      </c>
      <c r="B308" s="9" t="s">
        <v>250</v>
      </c>
      <c r="C308" s="9" t="s">
        <v>287</v>
      </c>
      <c r="D308" s="9">
        <v>25</v>
      </c>
      <c r="E308" s="37">
        <f>Daily_Plan!B29</f>
        <v>46320</v>
      </c>
      <c r="F308" s="23">
        <f t="shared" si="24"/>
        <v>282.42999999999995</v>
      </c>
      <c r="G308" s="38">
        <f>Daily_Plan!AC29</f>
        <v>21.320000000000007</v>
      </c>
      <c r="H308" s="38">
        <f>Product_Liftings!H29</f>
        <v>0</v>
      </c>
      <c r="I308" s="39">
        <f t="shared" si="21"/>
        <v>303.74999999999994</v>
      </c>
      <c r="J308" s="38">
        <f>Tank_Master!$E$13</f>
        <v>40</v>
      </c>
      <c r="K308" s="38">
        <f>Tank_Master!$D$13</f>
        <v>400</v>
      </c>
      <c r="L308" s="9" t="str">
        <f t="shared" si="22"/>
        <v>OK</v>
      </c>
      <c r="M308" s="40">
        <f t="shared" si="23"/>
        <v>0.75937499999999991</v>
      </c>
    </row>
    <row r="309" spans="1:13" x14ac:dyDescent="0.25">
      <c r="A309" s="9" t="s">
        <v>292</v>
      </c>
      <c r="B309" s="9" t="s">
        <v>250</v>
      </c>
      <c r="C309" s="9" t="s">
        <v>287</v>
      </c>
      <c r="D309" s="9">
        <v>26</v>
      </c>
      <c r="E309" s="37">
        <f>Daily_Plan!B30</f>
        <v>46321</v>
      </c>
      <c r="F309" s="23">
        <f t="shared" si="24"/>
        <v>303.74999999999994</v>
      </c>
      <c r="G309" s="38">
        <f>Daily_Plan!AC30</f>
        <v>21.320000000000007</v>
      </c>
      <c r="H309" s="38">
        <f>Product_Liftings!H30</f>
        <v>0</v>
      </c>
      <c r="I309" s="39">
        <f t="shared" si="21"/>
        <v>325.06999999999994</v>
      </c>
      <c r="J309" s="38">
        <f>Tank_Master!$E$13</f>
        <v>40</v>
      </c>
      <c r="K309" s="38">
        <f>Tank_Master!$D$13</f>
        <v>400</v>
      </c>
      <c r="L309" s="9" t="str">
        <f t="shared" si="22"/>
        <v>OK</v>
      </c>
      <c r="M309" s="40">
        <f t="shared" si="23"/>
        <v>0.81267499999999981</v>
      </c>
    </row>
    <row r="310" spans="1:13" x14ac:dyDescent="0.25">
      <c r="A310" s="9" t="s">
        <v>292</v>
      </c>
      <c r="B310" s="9" t="s">
        <v>250</v>
      </c>
      <c r="C310" s="9" t="s">
        <v>287</v>
      </c>
      <c r="D310" s="9">
        <v>27</v>
      </c>
      <c r="E310" s="37">
        <f>Daily_Plan!B31</f>
        <v>46322</v>
      </c>
      <c r="F310" s="23">
        <f t="shared" si="24"/>
        <v>325.06999999999994</v>
      </c>
      <c r="G310" s="38">
        <f>Daily_Plan!AC31</f>
        <v>21.320000000000007</v>
      </c>
      <c r="H310" s="38">
        <f>Product_Liftings!H31</f>
        <v>0</v>
      </c>
      <c r="I310" s="39">
        <f t="shared" si="21"/>
        <v>346.38999999999993</v>
      </c>
      <c r="J310" s="38">
        <f>Tank_Master!$E$13</f>
        <v>40</v>
      </c>
      <c r="K310" s="38">
        <f>Tank_Master!$D$13</f>
        <v>400</v>
      </c>
      <c r="L310" s="9" t="str">
        <f t="shared" si="22"/>
        <v>OK</v>
      </c>
      <c r="M310" s="40">
        <f t="shared" si="23"/>
        <v>0.86597499999999983</v>
      </c>
    </row>
    <row r="311" spans="1:13" x14ac:dyDescent="0.25">
      <c r="A311" s="9" t="s">
        <v>292</v>
      </c>
      <c r="B311" s="9" t="s">
        <v>250</v>
      </c>
      <c r="C311" s="9" t="s">
        <v>287</v>
      </c>
      <c r="D311" s="9">
        <v>28</v>
      </c>
      <c r="E311" s="37">
        <f>Daily_Plan!B32</f>
        <v>46323</v>
      </c>
      <c r="F311" s="23">
        <f t="shared" si="24"/>
        <v>346.38999999999993</v>
      </c>
      <c r="G311" s="38">
        <f>Daily_Plan!AC32</f>
        <v>21.320000000000007</v>
      </c>
      <c r="H311" s="38">
        <f>Product_Liftings!H32</f>
        <v>0</v>
      </c>
      <c r="I311" s="39">
        <f t="shared" si="21"/>
        <v>367.70999999999992</v>
      </c>
      <c r="J311" s="38">
        <f>Tank_Master!$E$13</f>
        <v>40</v>
      </c>
      <c r="K311" s="38">
        <f>Tank_Master!$D$13</f>
        <v>400</v>
      </c>
      <c r="L311" s="9" t="str">
        <f t="shared" si="22"/>
        <v>OK</v>
      </c>
      <c r="M311" s="40">
        <f t="shared" si="23"/>
        <v>0.91927499999999984</v>
      </c>
    </row>
    <row r="312" spans="1:13" x14ac:dyDescent="0.25">
      <c r="A312" s="9" t="s">
        <v>292</v>
      </c>
      <c r="B312" s="9" t="s">
        <v>250</v>
      </c>
      <c r="C312" s="9" t="s">
        <v>287</v>
      </c>
      <c r="D312" s="9">
        <v>29</v>
      </c>
      <c r="E312" s="37">
        <f>Daily_Plan!B33</f>
        <v>46324</v>
      </c>
      <c r="F312" s="23">
        <f t="shared" si="24"/>
        <v>367.70999999999992</v>
      </c>
      <c r="G312" s="38">
        <f>Daily_Plan!AC33</f>
        <v>21.320000000000007</v>
      </c>
      <c r="H312" s="38">
        <f>Product_Liftings!H33</f>
        <v>200</v>
      </c>
      <c r="I312" s="39">
        <f t="shared" si="21"/>
        <v>189.02999999999992</v>
      </c>
      <c r="J312" s="38">
        <f>Tank_Master!$E$13</f>
        <v>40</v>
      </c>
      <c r="K312" s="38">
        <f>Tank_Master!$D$13</f>
        <v>400</v>
      </c>
      <c r="L312" s="9" t="str">
        <f t="shared" si="22"/>
        <v>OK</v>
      </c>
      <c r="M312" s="40">
        <f t="shared" si="23"/>
        <v>0.4725749999999998</v>
      </c>
    </row>
    <row r="313" spans="1:13" x14ac:dyDescent="0.25">
      <c r="A313" s="9" t="s">
        <v>292</v>
      </c>
      <c r="B313" s="9" t="s">
        <v>250</v>
      </c>
      <c r="C313" s="9" t="s">
        <v>287</v>
      </c>
      <c r="D313" s="9">
        <v>30</v>
      </c>
      <c r="E313" s="37">
        <f>Daily_Plan!B34</f>
        <v>46325</v>
      </c>
      <c r="F313" s="23">
        <f t="shared" si="24"/>
        <v>189.02999999999992</v>
      </c>
      <c r="G313" s="38">
        <f>Daily_Plan!AC34</f>
        <v>21.320000000000007</v>
      </c>
      <c r="H313" s="38">
        <f>Product_Liftings!H34</f>
        <v>0</v>
      </c>
      <c r="I313" s="39">
        <f t="shared" si="21"/>
        <v>210.34999999999991</v>
      </c>
      <c r="J313" s="38">
        <f>Tank_Master!$E$13</f>
        <v>40</v>
      </c>
      <c r="K313" s="38">
        <f>Tank_Master!$D$13</f>
        <v>400</v>
      </c>
      <c r="L313" s="9" t="str">
        <f t="shared" si="22"/>
        <v>OK</v>
      </c>
      <c r="M313" s="40">
        <f t="shared" si="23"/>
        <v>0.52587499999999976</v>
      </c>
    </row>
    <row r="314" spans="1:13" x14ac:dyDescent="0.25">
      <c r="A314" s="9" t="s">
        <v>292</v>
      </c>
      <c r="B314" s="9" t="s">
        <v>250</v>
      </c>
      <c r="C314" s="9" t="s">
        <v>287</v>
      </c>
      <c r="D314" s="9">
        <v>31</v>
      </c>
      <c r="E314" s="37">
        <f>Daily_Plan!B35</f>
        <v>46326</v>
      </c>
      <c r="F314" s="23">
        <f t="shared" si="24"/>
        <v>210.34999999999991</v>
      </c>
      <c r="G314" s="38">
        <f>Daily_Plan!AC35</f>
        <v>21.320000000000007</v>
      </c>
      <c r="H314" s="38">
        <f>Product_Liftings!H35</f>
        <v>0</v>
      </c>
      <c r="I314" s="39">
        <f t="shared" si="21"/>
        <v>231.6699999999999</v>
      </c>
      <c r="J314" s="38">
        <f>Tank_Master!$E$13</f>
        <v>40</v>
      </c>
      <c r="K314" s="38">
        <f>Tank_Master!$D$13</f>
        <v>400</v>
      </c>
      <c r="L314" s="9" t="str">
        <f t="shared" si="22"/>
        <v>OK</v>
      </c>
      <c r="M314" s="40">
        <f t="shared" si="23"/>
        <v>0.57917499999999977</v>
      </c>
    </row>
  </sheetData>
  <autoFilter ref="A4:M314" xr:uid="{00000000-0009-0000-0000-000002000000}"/>
  <conditionalFormatting sqref="L5:L314">
    <cfRule type="cellIs" dxfId="5" priority="2" operator="notEqual">
      <formula>"OK"</formula>
    </cfRule>
    <cfRule type="cellIs" dxfId="4" priority="3" operator="equal">
      <formula>"OK"</formula>
    </cfRule>
  </conditionalFormatting>
  <conditionalFormatting sqref="M5:M314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T25" sqref="T25"/>
    </sheetView>
  </sheetViews>
  <sheetFormatPr defaultColWidth="8.7109375" defaultRowHeight="15" customHeight="1" x14ac:dyDescent="0.25"/>
  <cols>
    <col min="1" max="1" width="6" customWidth="1"/>
    <col min="2" max="12" width="11" customWidth="1"/>
    <col min="13" max="13" width="3" customWidth="1"/>
    <col min="14" max="23" width="11" customWidth="1"/>
  </cols>
  <sheetData>
    <row r="1" spans="1:23" ht="18" x14ac:dyDescent="0.25">
      <c r="A1" s="3" t="s">
        <v>293</v>
      </c>
    </row>
    <row r="2" spans="1:23" x14ac:dyDescent="0.25">
      <c r="A2" s="4" t="s">
        <v>294</v>
      </c>
    </row>
    <row r="3" spans="1:23" x14ac:dyDescent="0.25">
      <c r="C3" s="32" t="s">
        <v>295</v>
      </c>
      <c r="N3" s="32" t="s">
        <v>296</v>
      </c>
    </row>
    <row r="4" spans="1:23" ht="30" customHeight="1" x14ac:dyDescent="0.25">
      <c r="A4" s="19" t="s">
        <v>222</v>
      </c>
      <c r="B4" s="19" t="s">
        <v>223</v>
      </c>
      <c r="C4" s="19" t="s">
        <v>297</v>
      </c>
      <c r="D4" s="19" t="s">
        <v>298</v>
      </c>
      <c r="E4" s="19" t="s">
        <v>299</v>
      </c>
      <c r="F4" s="19" t="s">
        <v>300</v>
      </c>
      <c r="G4" s="19" t="s">
        <v>301</v>
      </c>
      <c r="H4" s="19" t="s">
        <v>302</v>
      </c>
      <c r="I4" s="19" t="s">
        <v>303</v>
      </c>
      <c r="J4" s="19" t="s">
        <v>304</v>
      </c>
      <c r="K4" s="19" t="s">
        <v>305</v>
      </c>
      <c r="L4" s="19" t="s">
        <v>306</v>
      </c>
      <c r="N4" s="19" t="s">
        <v>297</v>
      </c>
      <c r="O4" s="19" t="s">
        <v>298</v>
      </c>
      <c r="P4" s="19" t="s">
        <v>299</v>
      </c>
      <c r="Q4" s="19" t="s">
        <v>300</v>
      </c>
      <c r="R4" s="19" t="s">
        <v>301</v>
      </c>
      <c r="S4" s="19" t="s">
        <v>302</v>
      </c>
      <c r="T4" s="19" t="s">
        <v>303</v>
      </c>
      <c r="U4" s="19" t="s">
        <v>304</v>
      </c>
      <c r="V4" s="19" t="s">
        <v>305</v>
      </c>
      <c r="W4" s="19" t="s">
        <v>306</v>
      </c>
    </row>
    <row r="5" spans="1:23" x14ac:dyDescent="0.25">
      <c r="A5" s="9">
        <v>1</v>
      </c>
      <c r="B5" s="37">
        <f>Daily_Plan!B5</f>
        <v>46296</v>
      </c>
      <c r="C5" s="38">
        <f>Tank_Balance!I5</f>
        <v>660</v>
      </c>
      <c r="D5" s="38">
        <f>Tank_Balance!I36</f>
        <v>460</v>
      </c>
      <c r="E5" s="38">
        <f>Tank_Balance!I67</f>
        <v>410</v>
      </c>
      <c r="F5" s="38">
        <f>Tank_Balance!I98</f>
        <v>350</v>
      </c>
      <c r="G5" s="38">
        <f>Tank_Balance!I129</f>
        <v>32.32</v>
      </c>
      <c r="H5" s="38">
        <f>Tank_Balance!I160</f>
        <v>119.6</v>
      </c>
      <c r="I5" s="38">
        <f>Tank_Balance!I191</f>
        <v>185.12</v>
      </c>
      <c r="J5" s="38">
        <f>Tank_Balance!I222</f>
        <v>145.30000000000001</v>
      </c>
      <c r="K5" s="38">
        <f>Tank_Balance!I253</f>
        <v>238.27679999999998</v>
      </c>
      <c r="L5" s="38">
        <f>Tank_Balance!I284</f>
        <v>201.32</v>
      </c>
      <c r="N5" s="41">
        <f>Tank_Balance!M5</f>
        <v>0.44</v>
      </c>
      <c r="O5" s="41">
        <f>Tank_Balance!M36</f>
        <v>0.46</v>
      </c>
      <c r="P5" s="41">
        <f>Tank_Balance!M67</f>
        <v>0.45555555555555555</v>
      </c>
      <c r="Q5" s="41">
        <f>Tank_Balance!M98</f>
        <v>0.4375</v>
      </c>
      <c r="R5" s="41">
        <f>Tank_Balance!M129</f>
        <v>0.53866666666666663</v>
      </c>
      <c r="S5" s="41">
        <f>Tank_Balance!M160</f>
        <v>0.47839999999999999</v>
      </c>
      <c r="T5" s="41">
        <f>Tank_Balance!M191</f>
        <v>0.46279999999999999</v>
      </c>
      <c r="U5" s="41">
        <f>Tank_Balance!M222</f>
        <v>0.48433333333333339</v>
      </c>
      <c r="V5" s="41">
        <f>Tank_Balance!M253</f>
        <v>0.47655359999999997</v>
      </c>
      <c r="W5" s="41">
        <f>Tank_Balance!M284</f>
        <v>0.50329999999999997</v>
      </c>
    </row>
    <row r="6" spans="1:23" x14ac:dyDescent="0.25">
      <c r="A6" s="9">
        <v>2</v>
      </c>
      <c r="B6" s="37">
        <f>Daily_Plan!B6</f>
        <v>46297</v>
      </c>
      <c r="C6" s="38">
        <f>Tank_Balance!I6</f>
        <v>620</v>
      </c>
      <c r="D6" s="38">
        <f>Tank_Balance!I37</f>
        <v>420</v>
      </c>
      <c r="E6" s="38">
        <f>Tank_Balance!I68</f>
        <v>370</v>
      </c>
      <c r="F6" s="38">
        <f>Tank_Balance!I99</f>
        <v>320</v>
      </c>
      <c r="G6" s="38">
        <f>Tank_Balance!I130</f>
        <v>34.64</v>
      </c>
      <c r="H6" s="38">
        <f>Tank_Balance!I161</f>
        <v>129.19999999999999</v>
      </c>
      <c r="I6" s="38">
        <f>Tank_Balance!I192</f>
        <v>190.24</v>
      </c>
      <c r="J6" s="38">
        <f>Tank_Balance!I223</f>
        <v>150.60000000000002</v>
      </c>
      <c r="K6" s="38">
        <f>Tank_Balance!I254</f>
        <v>246.55359999999996</v>
      </c>
      <c r="L6" s="38">
        <f>Tank_Balance!I285</f>
        <v>222.64</v>
      </c>
      <c r="N6" s="41">
        <f>Tank_Balance!M6</f>
        <v>0.41333333333333333</v>
      </c>
      <c r="O6" s="41">
        <f>Tank_Balance!M37</f>
        <v>0.42</v>
      </c>
      <c r="P6" s="41">
        <f>Tank_Balance!M68</f>
        <v>0.41111111111111109</v>
      </c>
      <c r="Q6" s="41">
        <f>Tank_Balance!M99</f>
        <v>0.4</v>
      </c>
      <c r="R6" s="41">
        <f>Tank_Balance!M130</f>
        <v>0.57733333333333337</v>
      </c>
      <c r="S6" s="41">
        <f>Tank_Balance!M161</f>
        <v>0.51679999999999993</v>
      </c>
      <c r="T6" s="41">
        <f>Tank_Balance!M192</f>
        <v>0.47560000000000002</v>
      </c>
      <c r="U6" s="41">
        <f>Tank_Balance!M223</f>
        <v>0.50200000000000011</v>
      </c>
      <c r="V6" s="41">
        <f>Tank_Balance!M254</f>
        <v>0.49310719999999991</v>
      </c>
      <c r="W6" s="41">
        <f>Tank_Balance!M285</f>
        <v>0.55659999999999998</v>
      </c>
    </row>
    <row r="7" spans="1:23" x14ac:dyDescent="0.25">
      <c r="A7" s="9">
        <v>3</v>
      </c>
      <c r="B7" s="37">
        <f>Daily_Plan!B7</f>
        <v>46298</v>
      </c>
      <c r="C7" s="38">
        <f>Tank_Balance!I7</f>
        <v>579</v>
      </c>
      <c r="D7" s="38">
        <f>Tank_Balance!I38</f>
        <v>382</v>
      </c>
      <c r="E7" s="38">
        <f>Tank_Balance!I69</f>
        <v>329</v>
      </c>
      <c r="F7" s="38">
        <f>Tank_Balance!I100</f>
        <v>290</v>
      </c>
      <c r="G7" s="38">
        <f>Tank_Balance!I131</f>
        <v>37.21</v>
      </c>
      <c r="H7" s="38">
        <f>Tank_Balance!I162</f>
        <v>137.72</v>
      </c>
      <c r="I7" s="38">
        <f>Tank_Balance!I193</f>
        <v>196.72000000000003</v>
      </c>
      <c r="J7" s="38">
        <f>Tank_Balance!I224</f>
        <v>155.89000000000001</v>
      </c>
      <c r="K7" s="38">
        <f>Tank_Balance!I255</f>
        <v>255.06559999999996</v>
      </c>
      <c r="L7" s="38">
        <f>Tank_Balance!I286</f>
        <v>243.05999999999997</v>
      </c>
      <c r="N7" s="41">
        <f>Tank_Balance!M7</f>
        <v>0.38600000000000001</v>
      </c>
      <c r="O7" s="41">
        <f>Tank_Balance!M38</f>
        <v>0.38200000000000001</v>
      </c>
      <c r="P7" s="41">
        <f>Tank_Balance!M69</f>
        <v>0.36555555555555558</v>
      </c>
      <c r="Q7" s="41">
        <f>Tank_Balance!M100</f>
        <v>0.36249999999999999</v>
      </c>
      <c r="R7" s="41">
        <f>Tank_Balance!M131</f>
        <v>0.62016666666666664</v>
      </c>
      <c r="S7" s="41">
        <f>Tank_Balance!M162</f>
        <v>0.55088000000000004</v>
      </c>
      <c r="T7" s="41">
        <f>Tank_Balance!M193</f>
        <v>0.49180000000000007</v>
      </c>
      <c r="U7" s="41">
        <f>Tank_Balance!M224</f>
        <v>0.51963333333333339</v>
      </c>
      <c r="V7" s="41">
        <f>Tank_Balance!M255</f>
        <v>0.5101311999999999</v>
      </c>
      <c r="W7" s="41">
        <f>Tank_Balance!M286</f>
        <v>0.60764999999999991</v>
      </c>
    </row>
    <row r="8" spans="1:23" x14ac:dyDescent="0.25">
      <c r="A8" s="9">
        <v>4</v>
      </c>
      <c r="B8" s="37">
        <f>Daily_Plan!B8</f>
        <v>46299</v>
      </c>
      <c r="C8" s="38">
        <f>Tank_Balance!I8</f>
        <v>540</v>
      </c>
      <c r="D8" s="38">
        <f>Tank_Balance!I39</f>
        <v>346</v>
      </c>
      <c r="E8" s="38">
        <f>Tank_Balance!I70</f>
        <v>290</v>
      </c>
      <c r="F8" s="38">
        <f>Tank_Balance!I101</f>
        <v>262</v>
      </c>
      <c r="G8" s="38">
        <f>Tank_Balance!I132</f>
        <v>38.880000000000003</v>
      </c>
      <c r="H8" s="38">
        <f>Tank_Balance!I163</f>
        <v>146.56</v>
      </c>
      <c r="I8" s="38">
        <f>Tank_Balance!I194</f>
        <v>199.96000000000004</v>
      </c>
      <c r="J8" s="38">
        <f>Tank_Balance!I225</f>
        <v>159.94000000000003</v>
      </c>
      <c r="K8" s="38">
        <f>Tank_Balance!I256</f>
        <v>261.01</v>
      </c>
      <c r="L8" s="38">
        <f>Tank_Balance!I287</f>
        <v>263.58</v>
      </c>
      <c r="N8" s="41">
        <f>Tank_Balance!M8</f>
        <v>0.36</v>
      </c>
      <c r="O8" s="41">
        <f>Tank_Balance!M39</f>
        <v>0.34599999999999997</v>
      </c>
      <c r="P8" s="41">
        <f>Tank_Balance!M70</f>
        <v>0.32222222222222224</v>
      </c>
      <c r="Q8" s="41">
        <f>Tank_Balance!M101</f>
        <v>0.32750000000000001</v>
      </c>
      <c r="R8" s="41">
        <f>Tank_Balance!M132</f>
        <v>0.64800000000000002</v>
      </c>
      <c r="S8" s="41">
        <f>Tank_Balance!M163</f>
        <v>0.58623999999999998</v>
      </c>
      <c r="T8" s="41">
        <f>Tank_Balance!M194</f>
        <v>0.49990000000000007</v>
      </c>
      <c r="U8" s="41">
        <f>Tank_Balance!M225</f>
        <v>0.53313333333333346</v>
      </c>
      <c r="V8" s="41">
        <f>Tank_Balance!M256</f>
        <v>0.52201999999999993</v>
      </c>
      <c r="W8" s="41">
        <f>Tank_Balance!M287</f>
        <v>0.65894999999999992</v>
      </c>
    </row>
    <row r="9" spans="1:23" x14ac:dyDescent="0.25">
      <c r="A9" s="9">
        <v>5</v>
      </c>
      <c r="B9" s="37">
        <f>Daily_Plan!B9</f>
        <v>46300</v>
      </c>
      <c r="C9" s="38">
        <f>Tank_Balance!I9</f>
        <v>505</v>
      </c>
      <c r="D9" s="38">
        <f>Tank_Balance!I40</f>
        <v>812</v>
      </c>
      <c r="E9" s="38">
        <f>Tank_Balance!I71</f>
        <v>253</v>
      </c>
      <c r="F9" s="38">
        <f>Tank_Balance!I102</f>
        <v>236</v>
      </c>
      <c r="G9" s="38">
        <f>Tank_Balance!I133</f>
        <v>39.790000000000006</v>
      </c>
      <c r="H9" s="38">
        <f>Tank_Balance!I164</f>
        <v>155.36000000000001</v>
      </c>
      <c r="I9" s="38">
        <f>Tank_Balance!I195</f>
        <v>200.48000000000005</v>
      </c>
      <c r="J9" s="38">
        <f>Tank_Balance!I226</f>
        <v>162.47000000000003</v>
      </c>
      <c r="K9" s="38">
        <f>Tank_Balance!I257</f>
        <v>264.1712</v>
      </c>
      <c r="L9" s="38">
        <f>Tank_Balance!I288</f>
        <v>282.36</v>
      </c>
      <c r="N9" s="41">
        <f>Tank_Balance!M9</f>
        <v>0.33666666666666667</v>
      </c>
      <c r="O9" s="41">
        <f>Tank_Balance!M40</f>
        <v>0.81200000000000006</v>
      </c>
      <c r="P9" s="41">
        <f>Tank_Balance!M71</f>
        <v>0.28111111111111109</v>
      </c>
      <c r="Q9" s="41">
        <f>Tank_Balance!M102</f>
        <v>0.29499999999999998</v>
      </c>
      <c r="R9" s="41">
        <f>Tank_Balance!M133</f>
        <v>0.66316666666666679</v>
      </c>
      <c r="S9" s="41">
        <f>Tank_Balance!M164</f>
        <v>0.6214400000000001</v>
      </c>
      <c r="T9" s="41">
        <f>Tank_Balance!M195</f>
        <v>0.50120000000000009</v>
      </c>
      <c r="U9" s="41">
        <f>Tank_Balance!M226</f>
        <v>0.54156666666666675</v>
      </c>
      <c r="V9" s="41">
        <f>Tank_Balance!M257</f>
        <v>0.52834239999999999</v>
      </c>
      <c r="W9" s="41">
        <f>Tank_Balance!M288</f>
        <v>0.70590000000000008</v>
      </c>
    </row>
    <row r="10" spans="1:23" x14ac:dyDescent="0.25">
      <c r="A10" s="9">
        <v>6</v>
      </c>
      <c r="B10" s="37">
        <f>Daily_Plan!B10</f>
        <v>46301</v>
      </c>
      <c r="C10" s="38">
        <f>Tank_Balance!I10</f>
        <v>468</v>
      </c>
      <c r="D10" s="38">
        <f>Tank_Balance!I41</f>
        <v>776</v>
      </c>
      <c r="E10" s="38">
        <f>Tank_Balance!I72</f>
        <v>615</v>
      </c>
      <c r="F10" s="38">
        <f>Tank_Balance!I103</f>
        <v>208</v>
      </c>
      <c r="G10" s="38">
        <f>Tank_Balance!I134</f>
        <v>41.31</v>
      </c>
      <c r="H10" s="38">
        <f>Tank_Balance!I165</f>
        <v>164.62</v>
      </c>
      <c r="I10" s="38">
        <f>Tank_Balance!I196</f>
        <v>202.88000000000005</v>
      </c>
      <c r="J10" s="38">
        <f>Tank_Balance!I227</f>
        <v>166.07000000000002</v>
      </c>
      <c r="K10" s="38">
        <f>Tank_Balance!I258</f>
        <v>269.42959999999999</v>
      </c>
      <c r="L10" s="38">
        <f>Tank_Balance!I289</f>
        <v>101.71000000000004</v>
      </c>
      <c r="N10" s="41">
        <f>Tank_Balance!M10</f>
        <v>0.312</v>
      </c>
      <c r="O10" s="41">
        <f>Tank_Balance!M41</f>
        <v>0.77600000000000002</v>
      </c>
      <c r="P10" s="41">
        <f>Tank_Balance!M72</f>
        <v>0.68333333333333335</v>
      </c>
      <c r="Q10" s="41">
        <f>Tank_Balance!M103</f>
        <v>0.26</v>
      </c>
      <c r="R10" s="41">
        <f>Tank_Balance!M134</f>
        <v>0.6885</v>
      </c>
      <c r="S10" s="41">
        <f>Tank_Balance!M165</f>
        <v>0.65848000000000007</v>
      </c>
      <c r="T10" s="41">
        <f>Tank_Balance!M196</f>
        <v>0.5072000000000001</v>
      </c>
      <c r="U10" s="41">
        <f>Tank_Balance!M227</f>
        <v>0.55356666666666676</v>
      </c>
      <c r="V10" s="41">
        <f>Tank_Balance!M258</f>
        <v>0.53885919999999998</v>
      </c>
      <c r="W10" s="41">
        <f>Tank_Balance!M289</f>
        <v>0.25427500000000008</v>
      </c>
    </row>
    <row r="11" spans="1:23" x14ac:dyDescent="0.25">
      <c r="A11" s="9">
        <v>7</v>
      </c>
      <c r="B11" s="37">
        <f>Daily_Plan!B11</f>
        <v>46302</v>
      </c>
      <c r="C11" s="38">
        <f>Tank_Balance!I11</f>
        <v>429</v>
      </c>
      <c r="D11" s="38">
        <f>Tank_Balance!I42</f>
        <v>738</v>
      </c>
      <c r="E11" s="38">
        <f>Tank_Balance!I73</f>
        <v>575</v>
      </c>
      <c r="F11" s="38">
        <f>Tank_Balance!I104</f>
        <v>178</v>
      </c>
      <c r="G11" s="38">
        <f>Tank_Balance!I135</f>
        <v>43.550000000000004</v>
      </c>
      <c r="H11" s="38">
        <f>Tank_Balance!I166</f>
        <v>173.56</v>
      </c>
      <c r="I11" s="38">
        <f>Tank_Balance!I197</f>
        <v>208.00000000000006</v>
      </c>
      <c r="J11" s="38">
        <f>Tank_Balance!I228</f>
        <v>85.910000000000025</v>
      </c>
      <c r="K11" s="38">
        <f>Tank_Balance!I259</f>
        <v>277.07920000000001</v>
      </c>
      <c r="L11" s="38">
        <f>Tank_Balance!I290</f>
        <v>121.90000000000003</v>
      </c>
      <c r="N11" s="41">
        <f>Tank_Balance!M11</f>
        <v>0.28599999999999998</v>
      </c>
      <c r="O11" s="41">
        <f>Tank_Balance!M42</f>
        <v>0.73799999999999999</v>
      </c>
      <c r="P11" s="41">
        <f>Tank_Balance!M73</f>
        <v>0.63888888888888884</v>
      </c>
      <c r="Q11" s="41">
        <f>Tank_Balance!M104</f>
        <v>0.2225</v>
      </c>
      <c r="R11" s="41">
        <f>Tank_Balance!M135</f>
        <v>0.72583333333333344</v>
      </c>
      <c r="S11" s="41">
        <f>Tank_Balance!M166</f>
        <v>0.69423999999999997</v>
      </c>
      <c r="T11" s="41">
        <f>Tank_Balance!M197</f>
        <v>0.52000000000000013</v>
      </c>
      <c r="U11" s="41">
        <f>Tank_Balance!M228</f>
        <v>0.28636666666666677</v>
      </c>
      <c r="V11" s="41">
        <f>Tank_Balance!M259</f>
        <v>0.55415840000000005</v>
      </c>
      <c r="W11" s="41">
        <f>Tank_Balance!M290</f>
        <v>0.30475000000000008</v>
      </c>
    </row>
    <row r="12" spans="1:23" x14ac:dyDescent="0.25">
      <c r="A12" s="9">
        <v>8</v>
      </c>
      <c r="B12" s="37">
        <f>Daily_Plan!B12</f>
        <v>46303</v>
      </c>
      <c r="C12" s="38">
        <f>Tank_Balance!I12</f>
        <v>989</v>
      </c>
      <c r="D12" s="38">
        <f>Tank_Balance!I43</f>
        <v>698</v>
      </c>
      <c r="E12" s="38">
        <f>Tank_Balance!I74</f>
        <v>535</v>
      </c>
      <c r="F12" s="38">
        <f>Tank_Balance!I105</f>
        <v>148</v>
      </c>
      <c r="G12" s="38">
        <f>Tank_Balance!I136</f>
        <v>46.050000000000004</v>
      </c>
      <c r="H12" s="38">
        <f>Tank_Balance!I167</f>
        <v>183.16</v>
      </c>
      <c r="I12" s="38">
        <f>Tank_Balance!I198</f>
        <v>213.64000000000004</v>
      </c>
      <c r="J12" s="38">
        <f>Tank_Balance!I229</f>
        <v>91.210000000000022</v>
      </c>
      <c r="K12" s="38">
        <f>Tank_Balance!I260</f>
        <v>285.5324</v>
      </c>
      <c r="L12" s="38">
        <f>Tank_Balance!I291</f>
        <v>142.28000000000003</v>
      </c>
      <c r="N12" s="41">
        <f>Tank_Balance!M12</f>
        <v>0.65933333333333333</v>
      </c>
      <c r="O12" s="41">
        <f>Tank_Balance!M43</f>
        <v>0.69799999999999995</v>
      </c>
      <c r="P12" s="41">
        <f>Tank_Balance!M74</f>
        <v>0.59444444444444444</v>
      </c>
      <c r="Q12" s="41">
        <f>Tank_Balance!M105</f>
        <v>0.185</v>
      </c>
      <c r="R12" s="41">
        <f>Tank_Balance!M136</f>
        <v>0.76750000000000007</v>
      </c>
      <c r="S12" s="41">
        <f>Tank_Balance!M167</f>
        <v>0.73263999999999996</v>
      </c>
      <c r="T12" s="41">
        <f>Tank_Balance!M198</f>
        <v>0.53410000000000013</v>
      </c>
      <c r="U12" s="41">
        <f>Tank_Balance!M229</f>
        <v>0.30403333333333343</v>
      </c>
      <c r="V12" s="41">
        <f>Tank_Balance!M260</f>
        <v>0.57106480000000004</v>
      </c>
      <c r="W12" s="41">
        <f>Tank_Balance!M291</f>
        <v>0.35570000000000007</v>
      </c>
    </row>
    <row r="13" spans="1:23" x14ac:dyDescent="0.25">
      <c r="A13" s="9">
        <v>9</v>
      </c>
      <c r="B13" s="37">
        <f>Daily_Plan!B13</f>
        <v>46304</v>
      </c>
      <c r="C13" s="38">
        <f>Tank_Balance!I13</f>
        <v>949</v>
      </c>
      <c r="D13" s="38">
        <f>Tank_Balance!I44</f>
        <v>658</v>
      </c>
      <c r="E13" s="38">
        <f>Tank_Balance!I75</f>
        <v>494</v>
      </c>
      <c r="F13" s="38">
        <f>Tank_Balance!I106</f>
        <v>119</v>
      </c>
      <c r="G13" s="38">
        <f>Tank_Balance!I137</f>
        <v>48.64</v>
      </c>
      <c r="H13" s="38">
        <f>Tank_Balance!I168</f>
        <v>91.78</v>
      </c>
      <c r="I13" s="38">
        <f>Tank_Balance!I199</f>
        <v>220.12000000000006</v>
      </c>
      <c r="J13" s="38">
        <f>Tank_Balance!I230</f>
        <v>96.53000000000003</v>
      </c>
      <c r="K13" s="38">
        <f>Tank_Balance!I261</f>
        <v>293.96600000000001</v>
      </c>
      <c r="L13" s="38">
        <f>Tank_Balance!I292</f>
        <v>162.63000000000002</v>
      </c>
      <c r="N13" s="41">
        <f>Tank_Balance!M13</f>
        <v>0.63266666666666671</v>
      </c>
      <c r="O13" s="41">
        <f>Tank_Balance!M44</f>
        <v>0.65800000000000003</v>
      </c>
      <c r="P13" s="41">
        <f>Tank_Balance!M75</f>
        <v>0.54888888888888887</v>
      </c>
      <c r="Q13" s="41">
        <f>Tank_Balance!M106</f>
        <v>0.14874999999999999</v>
      </c>
      <c r="R13" s="41">
        <f>Tank_Balance!M137</f>
        <v>0.81066666666666665</v>
      </c>
      <c r="S13" s="41">
        <f>Tank_Balance!M168</f>
        <v>0.36712</v>
      </c>
      <c r="T13" s="41">
        <f>Tank_Balance!M199</f>
        <v>0.55030000000000012</v>
      </c>
      <c r="U13" s="41">
        <f>Tank_Balance!M230</f>
        <v>0.32176666666666676</v>
      </c>
      <c r="V13" s="41">
        <f>Tank_Balance!M261</f>
        <v>0.58793200000000001</v>
      </c>
      <c r="W13" s="41">
        <f>Tank_Balance!M292</f>
        <v>0.40657500000000008</v>
      </c>
    </row>
    <row r="14" spans="1:23" x14ac:dyDescent="0.25">
      <c r="A14" s="9">
        <v>10</v>
      </c>
      <c r="B14" s="37">
        <f>Daily_Plan!B14</f>
        <v>46305</v>
      </c>
      <c r="C14" s="38">
        <f>Tank_Balance!I14</f>
        <v>909</v>
      </c>
      <c r="D14" s="38">
        <f>Tank_Balance!I45</f>
        <v>618</v>
      </c>
      <c r="E14" s="38">
        <f>Tank_Balance!I76</f>
        <v>454</v>
      </c>
      <c r="F14" s="38">
        <f>Tank_Balance!I107</f>
        <v>439</v>
      </c>
      <c r="G14" s="38">
        <f>Tank_Balance!I138</f>
        <v>20.96</v>
      </c>
      <c r="H14" s="38">
        <f>Tank_Balance!I169</f>
        <v>101.38</v>
      </c>
      <c r="I14" s="38">
        <f>Tank_Balance!I200</f>
        <v>225.24000000000007</v>
      </c>
      <c r="J14" s="38">
        <f>Tank_Balance!I231</f>
        <v>101.83000000000003</v>
      </c>
      <c r="K14" s="38">
        <f>Tank_Balance!I262</f>
        <v>302.24279999999999</v>
      </c>
      <c r="L14" s="38">
        <f>Tank_Balance!I293</f>
        <v>183.95000000000005</v>
      </c>
      <c r="N14" s="41">
        <f>Tank_Balance!M14</f>
        <v>0.60599999999999998</v>
      </c>
      <c r="O14" s="41">
        <f>Tank_Balance!M45</f>
        <v>0.61799999999999999</v>
      </c>
      <c r="P14" s="41">
        <f>Tank_Balance!M76</f>
        <v>0.50444444444444447</v>
      </c>
      <c r="Q14" s="41">
        <f>Tank_Balance!M107</f>
        <v>0.54874999999999996</v>
      </c>
      <c r="R14" s="41">
        <f>Tank_Balance!M138</f>
        <v>0.34933333333333333</v>
      </c>
      <c r="S14" s="41">
        <f>Tank_Balance!M169</f>
        <v>0.40551999999999999</v>
      </c>
      <c r="T14" s="41">
        <f>Tank_Balance!M200</f>
        <v>0.56310000000000016</v>
      </c>
      <c r="U14" s="41">
        <f>Tank_Balance!M231</f>
        <v>0.33943333333333342</v>
      </c>
      <c r="V14" s="41">
        <f>Tank_Balance!M262</f>
        <v>0.60448559999999996</v>
      </c>
      <c r="W14" s="41">
        <f>Tank_Balance!M293</f>
        <v>0.45987500000000009</v>
      </c>
    </row>
    <row r="15" spans="1:23" x14ac:dyDescent="0.25">
      <c r="A15" s="9">
        <v>11</v>
      </c>
      <c r="B15" s="37">
        <f>Daily_Plan!B15</f>
        <v>46306</v>
      </c>
      <c r="C15" s="38">
        <f>Tank_Balance!I15</f>
        <v>869</v>
      </c>
      <c r="D15" s="38">
        <f>Tank_Balance!I46</f>
        <v>578</v>
      </c>
      <c r="E15" s="38">
        <f>Tank_Balance!I77</f>
        <v>414</v>
      </c>
      <c r="F15" s="38">
        <f>Tank_Balance!I108</f>
        <v>409</v>
      </c>
      <c r="G15" s="38">
        <f>Tank_Balance!I139</f>
        <v>23.28</v>
      </c>
      <c r="H15" s="38">
        <f>Tank_Balance!I170</f>
        <v>110.97999999999999</v>
      </c>
      <c r="I15" s="38">
        <f>Tank_Balance!I201</f>
        <v>230.36000000000007</v>
      </c>
      <c r="J15" s="38">
        <f>Tank_Balance!I232</f>
        <v>107.13000000000002</v>
      </c>
      <c r="K15" s="38">
        <f>Tank_Balance!I263</f>
        <v>170.51959999999997</v>
      </c>
      <c r="L15" s="38">
        <f>Tank_Balance!I294</f>
        <v>205.27000000000004</v>
      </c>
      <c r="N15" s="41">
        <f>Tank_Balance!M15</f>
        <v>0.57933333333333337</v>
      </c>
      <c r="O15" s="41">
        <f>Tank_Balance!M46</f>
        <v>0.57799999999999996</v>
      </c>
      <c r="P15" s="41">
        <f>Tank_Balance!M77</f>
        <v>0.46</v>
      </c>
      <c r="Q15" s="41">
        <f>Tank_Balance!M108</f>
        <v>0.51124999999999998</v>
      </c>
      <c r="R15" s="41">
        <f>Tank_Balance!M139</f>
        <v>0.38800000000000001</v>
      </c>
      <c r="S15" s="41">
        <f>Tank_Balance!M170</f>
        <v>0.44391999999999998</v>
      </c>
      <c r="T15" s="41">
        <f>Tank_Balance!M201</f>
        <v>0.57590000000000019</v>
      </c>
      <c r="U15" s="41">
        <f>Tank_Balance!M232</f>
        <v>0.35710000000000008</v>
      </c>
      <c r="V15" s="41">
        <f>Tank_Balance!M263</f>
        <v>0.34103919999999993</v>
      </c>
      <c r="W15" s="41">
        <f>Tank_Balance!M294</f>
        <v>0.51317500000000005</v>
      </c>
    </row>
    <row r="16" spans="1:23" x14ac:dyDescent="0.25">
      <c r="A16" s="9">
        <v>12</v>
      </c>
      <c r="B16" s="37">
        <f>Daily_Plan!B16</f>
        <v>46307</v>
      </c>
      <c r="C16" s="38">
        <f>Tank_Balance!I16</f>
        <v>829</v>
      </c>
      <c r="D16" s="38">
        <f>Tank_Balance!I47</f>
        <v>538</v>
      </c>
      <c r="E16" s="38">
        <f>Tank_Balance!I78</f>
        <v>374</v>
      </c>
      <c r="F16" s="38">
        <f>Tank_Balance!I109</f>
        <v>379</v>
      </c>
      <c r="G16" s="38">
        <f>Tank_Balance!I140</f>
        <v>25.6</v>
      </c>
      <c r="H16" s="38">
        <f>Tank_Balance!I171</f>
        <v>120.57999999999998</v>
      </c>
      <c r="I16" s="38">
        <f>Tank_Balance!I202</f>
        <v>155.48000000000008</v>
      </c>
      <c r="J16" s="38">
        <f>Tank_Balance!I233</f>
        <v>112.43000000000004</v>
      </c>
      <c r="K16" s="38">
        <f>Tank_Balance!I264</f>
        <v>178.79639999999995</v>
      </c>
      <c r="L16" s="38">
        <f>Tank_Balance!I295</f>
        <v>226.59000000000003</v>
      </c>
      <c r="N16" s="41">
        <f>Tank_Balance!M16</f>
        <v>0.55266666666666664</v>
      </c>
      <c r="O16" s="41">
        <f>Tank_Balance!M47</f>
        <v>0.53800000000000003</v>
      </c>
      <c r="P16" s="41">
        <f>Tank_Balance!M78</f>
        <v>0.41555555555555557</v>
      </c>
      <c r="Q16" s="41">
        <f>Tank_Balance!M109</f>
        <v>0.47375</v>
      </c>
      <c r="R16" s="41">
        <f>Tank_Balance!M140</f>
        <v>0.42666666666666669</v>
      </c>
      <c r="S16" s="41">
        <f>Tank_Balance!M171</f>
        <v>0.48231999999999992</v>
      </c>
      <c r="T16" s="41">
        <f>Tank_Balance!M202</f>
        <v>0.38870000000000021</v>
      </c>
      <c r="U16" s="41">
        <f>Tank_Balance!M233</f>
        <v>0.3747666666666668</v>
      </c>
      <c r="V16" s="41">
        <f>Tank_Balance!M264</f>
        <v>0.35759279999999988</v>
      </c>
      <c r="W16" s="41">
        <f>Tank_Balance!M295</f>
        <v>0.56647500000000006</v>
      </c>
    </row>
    <row r="17" spans="1:23" x14ac:dyDescent="0.25">
      <c r="A17" s="9">
        <v>13</v>
      </c>
      <c r="B17" s="37">
        <f>Daily_Plan!B17</f>
        <v>46308</v>
      </c>
      <c r="C17" s="38">
        <f>Tank_Balance!I17</f>
        <v>789</v>
      </c>
      <c r="D17" s="38">
        <f>Tank_Balance!I48</f>
        <v>498</v>
      </c>
      <c r="E17" s="38">
        <f>Tank_Balance!I79</f>
        <v>334</v>
      </c>
      <c r="F17" s="38">
        <f>Tank_Balance!I110</f>
        <v>349</v>
      </c>
      <c r="G17" s="38">
        <f>Tank_Balance!I141</f>
        <v>27.92</v>
      </c>
      <c r="H17" s="38">
        <f>Tank_Balance!I172</f>
        <v>130.17999999999998</v>
      </c>
      <c r="I17" s="38">
        <f>Tank_Balance!I203</f>
        <v>160.60000000000008</v>
      </c>
      <c r="J17" s="38">
        <f>Tank_Balance!I234</f>
        <v>117.73000000000005</v>
      </c>
      <c r="K17" s="38">
        <f>Tank_Balance!I265</f>
        <v>187.07319999999993</v>
      </c>
      <c r="L17" s="38">
        <f>Tank_Balance!I296</f>
        <v>247.91000000000003</v>
      </c>
      <c r="N17" s="41">
        <f>Tank_Balance!M17</f>
        <v>0.52600000000000002</v>
      </c>
      <c r="O17" s="41">
        <f>Tank_Balance!M48</f>
        <v>0.498</v>
      </c>
      <c r="P17" s="41">
        <f>Tank_Balance!M79</f>
        <v>0.37111111111111111</v>
      </c>
      <c r="Q17" s="41">
        <f>Tank_Balance!M110</f>
        <v>0.43625000000000003</v>
      </c>
      <c r="R17" s="41">
        <f>Tank_Balance!M141</f>
        <v>0.46533333333333338</v>
      </c>
      <c r="S17" s="41">
        <f>Tank_Balance!M172</f>
        <v>0.52071999999999996</v>
      </c>
      <c r="T17" s="41">
        <f>Tank_Balance!M203</f>
        <v>0.40150000000000019</v>
      </c>
      <c r="U17" s="41">
        <f>Tank_Balance!M234</f>
        <v>0.39243333333333347</v>
      </c>
      <c r="V17" s="41">
        <f>Tank_Balance!M265</f>
        <v>0.37414639999999988</v>
      </c>
      <c r="W17" s="41">
        <f>Tank_Balance!M296</f>
        <v>0.61977500000000008</v>
      </c>
    </row>
    <row r="18" spans="1:23" x14ac:dyDescent="0.25">
      <c r="A18" s="9">
        <v>14</v>
      </c>
      <c r="B18" s="37">
        <f>Daily_Plan!B18</f>
        <v>46309</v>
      </c>
      <c r="C18" s="38">
        <f>Tank_Balance!I18</f>
        <v>749</v>
      </c>
      <c r="D18" s="38">
        <f>Tank_Balance!I49</f>
        <v>458</v>
      </c>
      <c r="E18" s="38">
        <f>Tank_Balance!I80</f>
        <v>294</v>
      </c>
      <c r="F18" s="38">
        <f>Tank_Balance!I111</f>
        <v>319</v>
      </c>
      <c r="G18" s="38">
        <f>Tank_Balance!I142</f>
        <v>30.240000000000002</v>
      </c>
      <c r="H18" s="38">
        <f>Tank_Balance!I173</f>
        <v>139.77999999999997</v>
      </c>
      <c r="I18" s="38">
        <f>Tank_Balance!I204</f>
        <v>165.72000000000008</v>
      </c>
      <c r="J18" s="38">
        <f>Tank_Balance!I235</f>
        <v>123.03000000000006</v>
      </c>
      <c r="K18" s="38">
        <f>Tank_Balance!I266</f>
        <v>195.34999999999991</v>
      </c>
      <c r="L18" s="38">
        <f>Tank_Balance!I297</f>
        <v>269.23</v>
      </c>
      <c r="N18" s="41">
        <f>Tank_Balance!M18</f>
        <v>0.49933333333333335</v>
      </c>
      <c r="O18" s="41">
        <f>Tank_Balance!M49</f>
        <v>0.45800000000000002</v>
      </c>
      <c r="P18" s="41">
        <f>Tank_Balance!M80</f>
        <v>0.32666666666666666</v>
      </c>
      <c r="Q18" s="41">
        <f>Tank_Balance!M111</f>
        <v>0.39874999999999999</v>
      </c>
      <c r="R18" s="41">
        <f>Tank_Balance!M142</f>
        <v>0.504</v>
      </c>
      <c r="S18" s="41">
        <f>Tank_Balance!M173</f>
        <v>0.55911999999999984</v>
      </c>
      <c r="T18" s="41">
        <f>Tank_Balance!M204</f>
        <v>0.41430000000000022</v>
      </c>
      <c r="U18" s="41">
        <f>Tank_Balance!M235</f>
        <v>0.41010000000000019</v>
      </c>
      <c r="V18" s="41">
        <f>Tank_Balance!M266</f>
        <v>0.39069999999999983</v>
      </c>
      <c r="W18" s="41">
        <f>Tank_Balance!M297</f>
        <v>0.67307500000000009</v>
      </c>
    </row>
    <row r="19" spans="1:23" x14ac:dyDescent="0.25">
      <c r="A19" s="9">
        <v>15</v>
      </c>
      <c r="B19" s="37">
        <f>Daily_Plan!B19</f>
        <v>46310</v>
      </c>
      <c r="C19" s="38">
        <f>Tank_Balance!I19</f>
        <v>709</v>
      </c>
      <c r="D19" s="38">
        <f>Tank_Balance!I50</f>
        <v>418</v>
      </c>
      <c r="E19" s="38">
        <f>Tank_Balance!I81</f>
        <v>254</v>
      </c>
      <c r="F19" s="38">
        <f>Tank_Balance!I112</f>
        <v>289</v>
      </c>
      <c r="G19" s="38">
        <f>Tank_Balance!I143</f>
        <v>32.56</v>
      </c>
      <c r="H19" s="38">
        <f>Tank_Balance!I174</f>
        <v>149.37999999999997</v>
      </c>
      <c r="I19" s="38">
        <f>Tank_Balance!I205</f>
        <v>170.84000000000009</v>
      </c>
      <c r="J19" s="38">
        <f>Tank_Balance!I236</f>
        <v>128.33000000000007</v>
      </c>
      <c r="K19" s="38">
        <f>Tank_Balance!I267</f>
        <v>203.62679999999989</v>
      </c>
      <c r="L19" s="38">
        <f>Tank_Balance!I298</f>
        <v>290.55</v>
      </c>
      <c r="N19" s="41">
        <f>Tank_Balance!M19</f>
        <v>0.47266666666666668</v>
      </c>
      <c r="O19" s="41">
        <f>Tank_Balance!M50</f>
        <v>0.41799999999999998</v>
      </c>
      <c r="P19" s="41">
        <f>Tank_Balance!M81</f>
        <v>0.28222222222222221</v>
      </c>
      <c r="Q19" s="41">
        <f>Tank_Balance!M112</f>
        <v>0.36125000000000002</v>
      </c>
      <c r="R19" s="41">
        <f>Tank_Balance!M143</f>
        <v>0.54266666666666674</v>
      </c>
      <c r="S19" s="41">
        <f>Tank_Balance!M174</f>
        <v>0.59751999999999983</v>
      </c>
      <c r="T19" s="41">
        <f>Tank_Balance!M205</f>
        <v>0.4271000000000002</v>
      </c>
      <c r="U19" s="41">
        <f>Tank_Balance!M236</f>
        <v>0.42776666666666691</v>
      </c>
      <c r="V19" s="41">
        <f>Tank_Balance!M267</f>
        <v>0.40725359999999977</v>
      </c>
      <c r="W19" s="41">
        <f>Tank_Balance!M298</f>
        <v>0.72637499999999999</v>
      </c>
    </row>
    <row r="20" spans="1:23" x14ac:dyDescent="0.25">
      <c r="A20" s="9">
        <v>16</v>
      </c>
      <c r="B20" s="37">
        <f>Daily_Plan!B20</f>
        <v>46311</v>
      </c>
      <c r="C20" s="38">
        <f>Tank_Balance!I20</f>
        <v>669</v>
      </c>
      <c r="D20" s="38">
        <f>Tank_Balance!I51</f>
        <v>378</v>
      </c>
      <c r="E20" s="38">
        <f>Tank_Balance!I82</f>
        <v>614</v>
      </c>
      <c r="F20" s="38">
        <f>Tank_Balance!I113</f>
        <v>259</v>
      </c>
      <c r="G20" s="38">
        <f>Tank_Balance!I144</f>
        <v>34.880000000000003</v>
      </c>
      <c r="H20" s="38">
        <f>Tank_Balance!I175</f>
        <v>158.97999999999996</v>
      </c>
      <c r="I20" s="38">
        <f>Tank_Balance!I206</f>
        <v>175.96000000000009</v>
      </c>
      <c r="J20" s="38">
        <f>Tank_Balance!I237</f>
        <v>133.63000000000008</v>
      </c>
      <c r="K20" s="38">
        <f>Tank_Balance!I268</f>
        <v>211.90359999999987</v>
      </c>
      <c r="L20" s="38">
        <f>Tank_Balance!I299</f>
        <v>311.87</v>
      </c>
      <c r="N20" s="41">
        <f>Tank_Balance!M20</f>
        <v>0.44600000000000001</v>
      </c>
      <c r="O20" s="41">
        <f>Tank_Balance!M51</f>
        <v>0.378</v>
      </c>
      <c r="P20" s="41">
        <f>Tank_Balance!M82</f>
        <v>0.68222222222222217</v>
      </c>
      <c r="Q20" s="41">
        <f>Tank_Balance!M113</f>
        <v>0.32374999999999998</v>
      </c>
      <c r="R20" s="41">
        <f>Tank_Balance!M144</f>
        <v>0.58133333333333337</v>
      </c>
      <c r="S20" s="41">
        <f>Tank_Balance!M175</f>
        <v>0.63591999999999982</v>
      </c>
      <c r="T20" s="41">
        <f>Tank_Balance!M206</f>
        <v>0.43990000000000024</v>
      </c>
      <c r="U20" s="41">
        <f>Tank_Balance!M237</f>
        <v>0.44543333333333363</v>
      </c>
      <c r="V20" s="41">
        <f>Tank_Balance!M268</f>
        <v>0.42380719999999972</v>
      </c>
      <c r="W20" s="41">
        <f>Tank_Balance!M299</f>
        <v>0.77967500000000001</v>
      </c>
    </row>
    <row r="21" spans="1:23" x14ac:dyDescent="0.25">
      <c r="A21" s="9">
        <v>17</v>
      </c>
      <c r="B21" s="37">
        <f>Daily_Plan!B21</f>
        <v>46312</v>
      </c>
      <c r="C21" s="38">
        <f>Tank_Balance!I21</f>
        <v>629</v>
      </c>
      <c r="D21" s="38">
        <f>Tank_Balance!I52</f>
        <v>338</v>
      </c>
      <c r="E21" s="38">
        <f>Tank_Balance!I83</f>
        <v>574</v>
      </c>
      <c r="F21" s="38">
        <f>Tank_Balance!I114</f>
        <v>229</v>
      </c>
      <c r="G21" s="38">
        <f>Tank_Balance!I145</f>
        <v>37.200000000000003</v>
      </c>
      <c r="H21" s="38">
        <f>Tank_Balance!I176</f>
        <v>168.57999999999996</v>
      </c>
      <c r="I21" s="38">
        <f>Tank_Balance!I207</f>
        <v>181.0800000000001</v>
      </c>
      <c r="J21" s="38">
        <f>Tank_Balance!I238</f>
        <v>138.93000000000009</v>
      </c>
      <c r="K21" s="38">
        <f>Tank_Balance!I269</f>
        <v>220.18039999999985</v>
      </c>
      <c r="L21" s="38">
        <f>Tank_Balance!I300</f>
        <v>333.19</v>
      </c>
      <c r="N21" s="41">
        <f>Tank_Balance!M21</f>
        <v>0.41933333333333334</v>
      </c>
      <c r="O21" s="41">
        <f>Tank_Balance!M52</f>
        <v>0.33800000000000002</v>
      </c>
      <c r="P21" s="41">
        <f>Tank_Balance!M83</f>
        <v>0.63777777777777778</v>
      </c>
      <c r="Q21" s="41">
        <f>Tank_Balance!M114</f>
        <v>0.28625</v>
      </c>
      <c r="R21" s="41">
        <f>Tank_Balance!M145</f>
        <v>0.62</v>
      </c>
      <c r="S21" s="41">
        <f>Tank_Balance!M176</f>
        <v>0.67431999999999981</v>
      </c>
      <c r="T21" s="41">
        <f>Tank_Balance!M207</f>
        <v>0.45270000000000027</v>
      </c>
      <c r="U21" s="41">
        <f>Tank_Balance!M238</f>
        <v>0.46310000000000029</v>
      </c>
      <c r="V21" s="41">
        <f>Tank_Balance!M269</f>
        <v>0.44036079999999972</v>
      </c>
      <c r="W21" s="41">
        <f>Tank_Balance!M300</f>
        <v>0.83297500000000002</v>
      </c>
    </row>
    <row r="22" spans="1:23" x14ac:dyDescent="0.25">
      <c r="A22" s="9">
        <v>18</v>
      </c>
      <c r="B22" s="37">
        <f>Daily_Plan!B22</f>
        <v>46313</v>
      </c>
      <c r="C22" s="38">
        <f>Tank_Balance!I22</f>
        <v>589</v>
      </c>
      <c r="D22" s="38">
        <f>Tank_Balance!I53</f>
        <v>298</v>
      </c>
      <c r="E22" s="38">
        <f>Tank_Balance!I84</f>
        <v>534</v>
      </c>
      <c r="F22" s="38">
        <f>Tank_Balance!I115</f>
        <v>199</v>
      </c>
      <c r="G22" s="38">
        <f>Tank_Balance!I146</f>
        <v>39.520000000000003</v>
      </c>
      <c r="H22" s="38">
        <f>Tank_Balance!I177</f>
        <v>178.17999999999995</v>
      </c>
      <c r="I22" s="38">
        <f>Tank_Balance!I208</f>
        <v>186.2000000000001</v>
      </c>
      <c r="J22" s="38">
        <f>Tank_Balance!I239</f>
        <v>144.2300000000001</v>
      </c>
      <c r="K22" s="38">
        <f>Tank_Balance!I270</f>
        <v>228.45719999999983</v>
      </c>
      <c r="L22" s="38">
        <f>Tank_Balance!I301</f>
        <v>154.51</v>
      </c>
      <c r="N22" s="41">
        <f>Tank_Balance!M22</f>
        <v>0.39266666666666666</v>
      </c>
      <c r="O22" s="41">
        <f>Tank_Balance!M53</f>
        <v>0.29799999999999999</v>
      </c>
      <c r="P22" s="41">
        <f>Tank_Balance!M84</f>
        <v>0.59333333333333338</v>
      </c>
      <c r="Q22" s="41">
        <f>Tank_Balance!M115</f>
        <v>0.24875</v>
      </c>
      <c r="R22" s="41">
        <f>Tank_Balance!M146</f>
        <v>0.65866666666666673</v>
      </c>
      <c r="S22" s="41">
        <f>Tank_Balance!M177</f>
        <v>0.7127199999999998</v>
      </c>
      <c r="T22" s="41">
        <f>Tank_Balance!M208</f>
        <v>0.46550000000000025</v>
      </c>
      <c r="U22" s="41">
        <f>Tank_Balance!M239</f>
        <v>0.48076666666666701</v>
      </c>
      <c r="V22" s="41">
        <f>Tank_Balance!M270</f>
        <v>0.45691439999999967</v>
      </c>
      <c r="W22" s="41">
        <f>Tank_Balance!M301</f>
        <v>0.38627499999999998</v>
      </c>
    </row>
    <row r="23" spans="1:23" x14ac:dyDescent="0.25">
      <c r="A23" s="9">
        <v>19</v>
      </c>
      <c r="B23" s="37">
        <f>Daily_Plan!B23</f>
        <v>46314</v>
      </c>
      <c r="C23" s="38">
        <f>Tank_Balance!I23</f>
        <v>549</v>
      </c>
      <c r="D23" s="38">
        <f>Tank_Balance!I54</f>
        <v>758</v>
      </c>
      <c r="E23" s="38">
        <f>Tank_Balance!I85</f>
        <v>494</v>
      </c>
      <c r="F23" s="38">
        <f>Tank_Balance!I116</f>
        <v>169</v>
      </c>
      <c r="G23" s="38">
        <f>Tank_Balance!I147</f>
        <v>41.84</v>
      </c>
      <c r="H23" s="38">
        <f>Tank_Balance!I178</f>
        <v>187.77999999999994</v>
      </c>
      <c r="I23" s="38">
        <f>Tank_Balance!I209</f>
        <v>191.32000000000011</v>
      </c>
      <c r="J23" s="38">
        <f>Tank_Balance!I240</f>
        <v>149.53000000000011</v>
      </c>
      <c r="K23" s="38">
        <f>Tank_Balance!I271</f>
        <v>236.73399999999981</v>
      </c>
      <c r="L23" s="38">
        <f>Tank_Balance!I302</f>
        <v>175.82999999999998</v>
      </c>
      <c r="N23" s="41">
        <f>Tank_Balance!M23</f>
        <v>0.36599999999999999</v>
      </c>
      <c r="O23" s="41">
        <f>Tank_Balance!M54</f>
        <v>0.75800000000000001</v>
      </c>
      <c r="P23" s="41">
        <f>Tank_Balance!M85</f>
        <v>0.54888888888888887</v>
      </c>
      <c r="Q23" s="41">
        <f>Tank_Balance!M116</f>
        <v>0.21124999999999999</v>
      </c>
      <c r="R23" s="41">
        <f>Tank_Balance!M147</f>
        <v>0.69733333333333336</v>
      </c>
      <c r="S23" s="41">
        <f>Tank_Balance!M178</f>
        <v>0.75111999999999979</v>
      </c>
      <c r="T23" s="41">
        <f>Tank_Balance!M209</f>
        <v>0.47830000000000028</v>
      </c>
      <c r="U23" s="41">
        <f>Tank_Balance!M240</f>
        <v>0.49843333333333373</v>
      </c>
      <c r="V23" s="41">
        <f>Tank_Balance!M271</f>
        <v>0.47346799999999961</v>
      </c>
      <c r="W23" s="41">
        <f>Tank_Balance!M302</f>
        <v>0.43957499999999994</v>
      </c>
    </row>
    <row r="24" spans="1:23" x14ac:dyDescent="0.25">
      <c r="A24" s="9">
        <v>20</v>
      </c>
      <c r="B24" s="37">
        <f>Daily_Plan!B24</f>
        <v>46315</v>
      </c>
      <c r="C24" s="38">
        <f>Tank_Balance!I24</f>
        <v>509</v>
      </c>
      <c r="D24" s="38">
        <f>Tank_Balance!I55</f>
        <v>718</v>
      </c>
      <c r="E24" s="38">
        <f>Tank_Balance!I86</f>
        <v>454</v>
      </c>
      <c r="F24" s="38">
        <f>Tank_Balance!I117</f>
        <v>139</v>
      </c>
      <c r="G24" s="38">
        <f>Tank_Balance!I148</f>
        <v>44.160000000000004</v>
      </c>
      <c r="H24" s="38">
        <f>Tank_Balance!I179</f>
        <v>97.379999999999939</v>
      </c>
      <c r="I24" s="38">
        <f>Tank_Balance!I210</f>
        <v>196.44000000000011</v>
      </c>
      <c r="J24" s="38">
        <f>Tank_Balance!I241</f>
        <v>154.83000000000013</v>
      </c>
      <c r="K24" s="38">
        <f>Tank_Balance!I272</f>
        <v>245.01079999999979</v>
      </c>
      <c r="L24" s="38">
        <f>Tank_Balance!I303</f>
        <v>197.14999999999998</v>
      </c>
      <c r="N24" s="41">
        <f>Tank_Balance!M24</f>
        <v>0.33933333333333332</v>
      </c>
      <c r="O24" s="41">
        <f>Tank_Balance!M55</f>
        <v>0.71799999999999997</v>
      </c>
      <c r="P24" s="41">
        <f>Tank_Balance!M86</f>
        <v>0.50444444444444447</v>
      </c>
      <c r="Q24" s="41">
        <f>Tank_Balance!M117</f>
        <v>0.17374999999999999</v>
      </c>
      <c r="R24" s="41">
        <f>Tank_Balance!M148</f>
        <v>0.7360000000000001</v>
      </c>
      <c r="S24" s="41">
        <f>Tank_Balance!M179</f>
        <v>0.38951999999999976</v>
      </c>
      <c r="T24" s="41">
        <f>Tank_Balance!M210</f>
        <v>0.49110000000000026</v>
      </c>
      <c r="U24" s="41">
        <f>Tank_Balance!M241</f>
        <v>0.51610000000000045</v>
      </c>
      <c r="V24" s="41">
        <f>Tank_Balance!M272</f>
        <v>0.49002159999999956</v>
      </c>
      <c r="W24" s="41">
        <f>Tank_Balance!M303</f>
        <v>0.49287499999999995</v>
      </c>
    </row>
    <row r="25" spans="1:23" x14ac:dyDescent="0.25">
      <c r="A25" s="9">
        <v>21</v>
      </c>
      <c r="B25" s="37">
        <f>Daily_Plan!B25</f>
        <v>46316</v>
      </c>
      <c r="C25" s="38">
        <f>Tank_Balance!I25</f>
        <v>469</v>
      </c>
      <c r="D25" s="38">
        <f>Tank_Balance!I56</f>
        <v>678</v>
      </c>
      <c r="E25" s="38">
        <f>Tank_Balance!I87</f>
        <v>414</v>
      </c>
      <c r="F25" s="38">
        <f>Tank_Balance!I118</f>
        <v>109</v>
      </c>
      <c r="G25" s="38">
        <f>Tank_Balance!I149</f>
        <v>46.480000000000004</v>
      </c>
      <c r="H25" s="38">
        <f>Tank_Balance!I180</f>
        <v>106.97999999999993</v>
      </c>
      <c r="I25" s="38">
        <f>Tank_Balance!I211</f>
        <v>201.56000000000012</v>
      </c>
      <c r="J25" s="38">
        <f>Tank_Balance!I242</f>
        <v>75.130000000000138</v>
      </c>
      <c r="K25" s="38">
        <f>Tank_Balance!I273</f>
        <v>253.28759999999977</v>
      </c>
      <c r="L25" s="38">
        <f>Tank_Balance!I304</f>
        <v>218.46999999999997</v>
      </c>
      <c r="N25" s="41">
        <f>Tank_Balance!M25</f>
        <v>0.31266666666666665</v>
      </c>
      <c r="O25" s="41">
        <f>Tank_Balance!M56</f>
        <v>0.67800000000000005</v>
      </c>
      <c r="P25" s="41">
        <f>Tank_Balance!M87</f>
        <v>0.46</v>
      </c>
      <c r="Q25" s="41">
        <f>Tank_Balance!M118</f>
        <v>0.13625000000000001</v>
      </c>
      <c r="R25" s="41">
        <f>Tank_Balance!M149</f>
        <v>0.77466666666666673</v>
      </c>
      <c r="S25" s="41">
        <f>Tank_Balance!M180</f>
        <v>0.42791999999999975</v>
      </c>
      <c r="T25" s="41">
        <f>Tank_Balance!M211</f>
        <v>0.50390000000000024</v>
      </c>
      <c r="U25" s="41">
        <f>Tank_Balance!M242</f>
        <v>0.25043333333333379</v>
      </c>
      <c r="V25" s="41">
        <f>Tank_Balance!M273</f>
        <v>0.50657519999999956</v>
      </c>
      <c r="W25" s="41">
        <f>Tank_Balance!M304</f>
        <v>0.54617499999999997</v>
      </c>
    </row>
    <row r="26" spans="1:23" x14ac:dyDescent="0.25">
      <c r="A26" s="9">
        <v>22</v>
      </c>
      <c r="B26" s="37">
        <f>Daily_Plan!B26</f>
        <v>46317</v>
      </c>
      <c r="C26" s="38">
        <f>Tank_Balance!I26</f>
        <v>929</v>
      </c>
      <c r="D26" s="38">
        <f>Tank_Balance!I57</f>
        <v>638</v>
      </c>
      <c r="E26" s="38">
        <f>Tank_Balance!I88</f>
        <v>374</v>
      </c>
      <c r="F26" s="38">
        <f>Tank_Balance!I119</f>
        <v>429</v>
      </c>
      <c r="G26" s="38">
        <f>Tank_Balance!I150</f>
        <v>48.800000000000004</v>
      </c>
      <c r="H26" s="38">
        <f>Tank_Balance!I181</f>
        <v>116.57999999999993</v>
      </c>
      <c r="I26" s="38">
        <f>Tank_Balance!I212</f>
        <v>206.68000000000012</v>
      </c>
      <c r="J26" s="38">
        <f>Tank_Balance!I243</f>
        <v>80.430000000000135</v>
      </c>
      <c r="K26" s="38">
        <f>Tank_Balance!I274</f>
        <v>261.56439999999975</v>
      </c>
      <c r="L26" s="38">
        <f>Tank_Balance!I305</f>
        <v>239.78999999999996</v>
      </c>
      <c r="N26" s="41">
        <f>Tank_Balance!M26</f>
        <v>0.61933333333333329</v>
      </c>
      <c r="O26" s="41">
        <f>Tank_Balance!M57</f>
        <v>0.63800000000000001</v>
      </c>
      <c r="P26" s="41">
        <f>Tank_Balance!M88</f>
        <v>0.41555555555555557</v>
      </c>
      <c r="Q26" s="41">
        <f>Tank_Balance!M119</f>
        <v>0.53625</v>
      </c>
      <c r="R26" s="41">
        <f>Tank_Balance!M150</f>
        <v>0.81333333333333335</v>
      </c>
      <c r="S26" s="41">
        <f>Tank_Balance!M181</f>
        <v>0.46631999999999973</v>
      </c>
      <c r="T26" s="41">
        <f>Tank_Balance!M212</f>
        <v>0.51670000000000027</v>
      </c>
      <c r="U26" s="41">
        <f>Tank_Balance!M243</f>
        <v>0.26810000000000045</v>
      </c>
      <c r="V26" s="41">
        <f>Tank_Balance!M274</f>
        <v>0.52312879999999951</v>
      </c>
      <c r="W26" s="41">
        <f>Tank_Balance!M305</f>
        <v>0.59947499999999987</v>
      </c>
    </row>
    <row r="27" spans="1:23" x14ac:dyDescent="0.25">
      <c r="A27" s="9">
        <v>23</v>
      </c>
      <c r="B27" s="37">
        <f>Daily_Plan!B27</f>
        <v>46318</v>
      </c>
      <c r="C27" s="38">
        <f>Tank_Balance!I27</f>
        <v>889</v>
      </c>
      <c r="D27" s="38">
        <f>Tank_Balance!I58</f>
        <v>598</v>
      </c>
      <c r="E27" s="38">
        <f>Tank_Balance!I89</f>
        <v>334</v>
      </c>
      <c r="F27" s="38">
        <f>Tank_Balance!I120</f>
        <v>399</v>
      </c>
      <c r="G27" s="38">
        <f>Tank_Balance!I151</f>
        <v>51.120000000000005</v>
      </c>
      <c r="H27" s="38">
        <f>Tank_Balance!I182</f>
        <v>126.17999999999992</v>
      </c>
      <c r="I27" s="38">
        <f>Tank_Balance!I213</f>
        <v>211.80000000000013</v>
      </c>
      <c r="J27" s="38">
        <f>Tank_Balance!I244</f>
        <v>85.730000000000132</v>
      </c>
      <c r="K27" s="38">
        <f>Tank_Balance!I275</f>
        <v>269.84119999999973</v>
      </c>
      <c r="L27" s="38">
        <f>Tank_Balance!I306</f>
        <v>261.10999999999996</v>
      </c>
      <c r="N27" s="41">
        <f>Tank_Balance!M27</f>
        <v>0.59266666666666667</v>
      </c>
      <c r="O27" s="41">
        <f>Tank_Balance!M58</f>
        <v>0.59799999999999998</v>
      </c>
      <c r="P27" s="41">
        <f>Tank_Balance!M89</f>
        <v>0.37111111111111111</v>
      </c>
      <c r="Q27" s="41">
        <f>Tank_Balance!M120</f>
        <v>0.49875000000000003</v>
      </c>
      <c r="R27" s="41">
        <f>Tank_Balance!M151</f>
        <v>0.85200000000000009</v>
      </c>
      <c r="S27" s="41">
        <f>Tank_Balance!M182</f>
        <v>0.50471999999999972</v>
      </c>
      <c r="T27" s="41">
        <f>Tank_Balance!M213</f>
        <v>0.5295000000000003</v>
      </c>
      <c r="U27" s="41">
        <f>Tank_Balance!M244</f>
        <v>0.28576666666666711</v>
      </c>
      <c r="V27" s="41">
        <f>Tank_Balance!M275</f>
        <v>0.53968239999999945</v>
      </c>
      <c r="W27" s="41">
        <f>Tank_Balance!M306</f>
        <v>0.65277499999999988</v>
      </c>
    </row>
    <row r="28" spans="1:23" x14ac:dyDescent="0.25">
      <c r="A28" s="9">
        <v>24</v>
      </c>
      <c r="B28" s="37">
        <f>Daily_Plan!B28</f>
        <v>46319</v>
      </c>
      <c r="C28" s="38">
        <f>Tank_Balance!I28</f>
        <v>849</v>
      </c>
      <c r="D28" s="38">
        <f>Tank_Balance!I59</f>
        <v>558</v>
      </c>
      <c r="E28" s="38">
        <f>Tank_Balance!I90</f>
        <v>294</v>
      </c>
      <c r="F28" s="38">
        <f>Tank_Balance!I121</f>
        <v>369</v>
      </c>
      <c r="G28" s="38">
        <f>Tank_Balance!I152</f>
        <v>23.440000000000005</v>
      </c>
      <c r="H28" s="38">
        <f>Tank_Balance!I183</f>
        <v>135.77999999999992</v>
      </c>
      <c r="I28" s="38">
        <f>Tank_Balance!I214</f>
        <v>216.92000000000013</v>
      </c>
      <c r="J28" s="38">
        <f>Tank_Balance!I245</f>
        <v>91.030000000000129</v>
      </c>
      <c r="K28" s="38">
        <f>Tank_Balance!I276</f>
        <v>278.11799999999971</v>
      </c>
      <c r="L28" s="38">
        <f>Tank_Balance!I307</f>
        <v>282.42999999999995</v>
      </c>
      <c r="N28" s="41">
        <f>Tank_Balance!M28</f>
        <v>0.56599999999999995</v>
      </c>
      <c r="O28" s="41">
        <f>Tank_Balance!M59</f>
        <v>0.55800000000000005</v>
      </c>
      <c r="P28" s="41">
        <f>Tank_Balance!M90</f>
        <v>0.32666666666666666</v>
      </c>
      <c r="Q28" s="41">
        <f>Tank_Balance!M121</f>
        <v>0.46124999999999999</v>
      </c>
      <c r="R28" s="41">
        <f>Tank_Balance!M152</f>
        <v>0.39066666666666677</v>
      </c>
      <c r="S28" s="41">
        <f>Tank_Balance!M183</f>
        <v>0.54311999999999971</v>
      </c>
      <c r="T28" s="41">
        <f>Tank_Balance!M214</f>
        <v>0.54230000000000034</v>
      </c>
      <c r="U28" s="41">
        <f>Tank_Balance!M245</f>
        <v>0.30343333333333378</v>
      </c>
      <c r="V28" s="41">
        <f>Tank_Balance!M276</f>
        <v>0.5562359999999994</v>
      </c>
      <c r="W28" s="41">
        <f>Tank_Balance!M307</f>
        <v>0.7060749999999999</v>
      </c>
    </row>
    <row r="29" spans="1:23" x14ac:dyDescent="0.25">
      <c r="A29" s="9">
        <v>25</v>
      </c>
      <c r="B29" s="37">
        <f>Daily_Plan!B29</f>
        <v>46320</v>
      </c>
      <c r="C29" s="38">
        <f>Tank_Balance!I29</f>
        <v>809</v>
      </c>
      <c r="D29" s="38">
        <f>Tank_Balance!I60</f>
        <v>518</v>
      </c>
      <c r="E29" s="38">
        <f>Tank_Balance!I91</f>
        <v>254</v>
      </c>
      <c r="F29" s="38">
        <f>Tank_Balance!I122</f>
        <v>339</v>
      </c>
      <c r="G29" s="38">
        <f>Tank_Balance!I153</f>
        <v>25.760000000000005</v>
      </c>
      <c r="H29" s="38">
        <f>Tank_Balance!I184</f>
        <v>145.37999999999991</v>
      </c>
      <c r="I29" s="38">
        <f>Tank_Balance!I215</f>
        <v>222.04000000000013</v>
      </c>
      <c r="J29" s="38">
        <f>Tank_Balance!I246</f>
        <v>96.330000000000126</v>
      </c>
      <c r="K29" s="38">
        <f>Tank_Balance!I277</f>
        <v>146.39479999999969</v>
      </c>
      <c r="L29" s="38">
        <f>Tank_Balance!I308</f>
        <v>303.74999999999994</v>
      </c>
      <c r="N29" s="41">
        <f>Tank_Balance!M29</f>
        <v>0.53933333333333333</v>
      </c>
      <c r="O29" s="41">
        <f>Tank_Balance!M60</f>
        <v>0.51800000000000002</v>
      </c>
      <c r="P29" s="41">
        <f>Tank_Balance!M91</f>
        <v>0.28222222222222221</v>
      </c>
      <c r="Q29" s="41">
        <f>Tank_Balance!M122</f>
        <v>0.42375000000000002</v>
      </c>
      <c r="R29" s="41">
        <f>Tank_Balance!M153</f>
        <v>0.4293333333333334</v>
      </c>
      <c r="S29" s="41">
        <f>Tank_Balance!M184</f>
        <v>0.58151999999999959</v>
      </c>
      <c r="T29" s="41">
        <f>Tank_Balance!M215</f>
        <v>0.55510000000000037</v>
      </c>
      <c r="U29" s="41">
        <f>Tank_Balance!M246</f>
        <v>0.32110000000000044</v>
      </c>
      <c r="V29" s="41">
        <f>Tank_Balance!M277</f>
        <v>0.29278959999999937</v>
      </c>
      <c r="W29" s="41">
        <f>Tank_Balance!M308</f>
        <v>0.75937499999999991</v>
      </c>
    </row>
    <row r="30" spans="1:23" x14ac:dyDescent="0.25">
      <c r="A30" s="9">
        <v>26</v>
      </c>
      <c r="B30" s="37">
        <f>Daily_Plan!B30</f>
        <v>46321</v>
      </c>
      <c r="C30" s="38">
        <f>Tank_Balance!I30</f>
        <v>769</v>
      </c>
      <c r="D30" s="38">
        <f>Tank_Balance!I61</f>
        <v>478</v>
      </c>
      <c r="E30" s="38">
        <f>Tank_Balance!I92</f>
        <v>614</v>
      </c>
      <c r="F30" s="38">
        <f>Tank_Balance!I123</f>
        <v>309</v>
      </c>
      <c r="G30" s="38">
        <f>Tank_Balance!I154</f>
        <v>28.080000000000005</v>
      </c>
      <c r="H30" s="38">
        <f>Tank_Balance!I185</f>
        <v>154.9799999999999</v>
      </c>
      <c r="I30" s="38">
        <f>Tank_Balance!I216</f>
        <v>147.16000000000014</v>
      </c>
      <c r="J30" s="38">
        <f>Tank_Balance!I247</f>
        <v>101.63000000000012</v>
      </c>
      <c r="K30" s="38">
        <f>Tank_Balance!I278</f>
        <v>154.67159999999967</v>
      </c>
      <c r="L30" s="38">
        <f>Tank_Balance!I309</f>
        <v>325.06999999999994</v>
      </c>
      <c r="N30" s="41">
        <f>Tank_Balance!M30</f>
        <v>0.51266666666666671</v>
      </c>
      <c r="O30" s="41">
        <f>Tank_Balance!M61</f>
        <v>0.47799999999999998</v>
      </c>
      <c r="P30" s="41">
        <f>Tank_Balance!M92</f>
        <v>0.68222222222222217</v>
      </c>
      <c r="Q30" s="41">
        <f>Tank_Balance!M123</f>
        <v>0.38624999999999998</v>
      </c>
      <c r="R30" s="41">
        <f>Tank_Balance!M154</f>
        <v>0.46800000000000008</v>
      </c>
      <c r="S30" s="41">
        <f>Tank_Balance!M185</f>
        <v>0.61991999999999958</v>
      </c>
      <c r="T30" s="41">
        <f>Tank_Balance!M216</f>
        <v>0.36790000000000034</v>
      </c>
      <c r="U30" s="41">
        <f>Tank_Balance!M247</f>
        <v>0.3387666666666671</v>
      </c>
      <c r="V30" s="41">
        <f>Tank_Balance!M278</f>
        <v>0.30934319999999932</v>
      </c>
      <c r="W30" s="41">
        <f>Tank_Balance!M309</f>
        <v>0.81267499999999981</v>
      </c>
    </row>
    <row r="31" spans="1:23" x14ac:dyDescent="0.25">
      <c r="A31" s="9">
        <v>27</v>
      </c>
      <c r="B31" s="37">
        <f>Daily_Plan!B31</f>
        <v>46322</v>
      </c>
      <c r="C31" s="38">
        <f>Tank_Balance!I31</f>
        <v>729</v>
      </c>
      <c r="D31" s="38">
        <f>Tank_Balance!I62</f>
        <v>438</v>
      </c>
      <c r="E31" s="38">
        <f>Tank_Balance!I93</f>
        <v>574</v>
      </c>
      <c r="F31" s="38">
        <f>Tank_Balance!I124</f>
        <v>279</v>
      </c>
      <c r="G31" s="38">
        <f>Tank_Balance!I155</f>
        <v>30.400000000000006</v>
      </c>
      <c r="H31" s="38">
        <f>Tank_Balance!I186</f>
        <v>164.5799999999999</v>
      </c>
      <c r="I31" s="38">
        <f>Tank_Balance!I217</f>
        <v>152.28000000000014</v>
      </c>
      <c r="J31" s="38">
        <f>Tank_Balance!I248</f>
        <v>106.93000000000012</v>
      </c>
      <c r="K31" s="38">
        <f>Tank_Balance!I279</f>
        <v>162.94839999999965</v>
      </c>
      <c r="L31" s="38">
        <f>Tank_Balance!I310</f>
        <v>346.38999999999993</v>
      </c>
      <c r="N31" s="41">
        <f>Tank_Balance!M31</f>
        <v>0.48599999999999999</v>
      </c>
      <c r="O31" s="41">
        <f>Tank_Balance!M62</f>
        <v>0.438</v>
      </c>
      <c r="P31" s="41">
        <f>Tank_Balance!M93</f>
        <v>0.63777777777777778</v>
      </c>
      <c r="Q31" s="41">
        <f>Tank_Balance!M124</f>
        <v>0.34875</v>
      </c>
      <c r="R31" s="41">
        <f>Tank_Balance!M155</f>
        <v>0.50666666666666671</v>
      </c>
      <c r="S31" s="41">
        <f>Tank_Balance!M186</f>
        <v>0.65831999999999957</v>
      </c>
      <c r="T31" s="41">
        <f>Tank_Balance!M217</f>
        <v>0.38070000000000037</v>
      </c>
      <c r="U31" s="41">
        <f>Tank_Balance!M248</f>
        <v>0.35643333333333371</v>
      </c>
      <c r="V31" s="41">
        <f>Tank_Balance!M279</f>
        <v>0.32589679999999932</v>
      </c>
      <c r="W31" s="41">
        <f>Tank_Balance!M310</f>
        <v>0.86597499999999983</v>
      </c>
    </row>
    <row r="32" spans="1:23" x14ac:dyDescent="0.25">
      <c r="A32" s="9">
        <v>28</v>
      </c>
      <c r="B32" s="37">
        <f>Daily_Plan!B32</f>
        <v>46323</v>
      </c>
      <c r="C32" s="38">
        <f>Tank_Balance!I32</f>
        <v>689</v>
      </c>
      <c r="D32" s="38">
        <f>Tank_Balance!I63</f>
        <v>398</v>
      </c>
      <c r="E32" s="38">
        <f>Tank_Balance!I94</f>
        <v>534</v>
      </c>
      <c r="F32" s="38">
        <f>Tank_Balance!I125</f>
        <v>249</v>
      </c>
      <c r="G32" s="38">
        <f>Tank_Balance!I156</f>
        <v>32.720000000000006</v>
      </c>
      <c r="H32" s="38">
        <f>Tank_Balance!I187</f>
        <v>174.17999999999989</v>
      </c>
      <c r="I32" s="38">
        <f>Tank_Balance!I218</f>
        <v>157.40000000000015</v>
      </c>
      <c r="J32" s="38">
        <f>Tank_Balance!I249</f>
        <v>112.23000000000013</v>
      </c>
      <c r="K32" s="38">
        <f>Tank_Balance!I280</f>
        <v>171.22519999999963</v>
      </c>
      <c r="L32" s="38">
        <f>Tank_Balance!I311</f>
        <v>367.70999999999992</v>
      </c>
      <c r="N32" s="41">
        <f>Tank_Balance!M32</f>
        <v>0.45933333333333332</v>
      </c>
      <c r="O32" s="41">
        <f>Tank_Balance!M63</f>
        <v>0.39800000000000002</v>
      </c>
      <c r="P32" s="41">
        <f>Tank_Balance!M94</f>
        <v>0.59333333333333338</v>
      </c>
      <c r="Q32" s="41">
        <f>Tank_Balance!M125</f>
        <v>0.31125000000000003</v>
      </c>
      <c r="R32" s="41">
        <f>Tank_Balance!M156</f>
        <v>0.54533333333333345</v>
      </c>
      <c r="S32" s="41">
        <f>Tank_Balance!M187</f>
        <v>0.69671999999999956</v>
      </c>
      <c r="T32" s="41">
        <f>Tank_Balance!M218</f>
        <v>0.39350000000000035</v>
      </c>
      <c r="U32" s="41">
        <f>Tank_Balance!M249</f>
        <v>0.37410000000000043</v>
      </c>
      <c r="V32" s="41">
        <f>Tank_Balance!M280</f>
        <v>0.34245039999999927</v>
      </c>
      <c r="W32" s="41">
        <f>Tank_Balance!M311</f>
        <v>0.91927499999999984</v>
      </c>
    </row>
    <row r="33" spans="1:23" x14ac:dyDescent="0.25">
      <c r="A33" s="9">
        <v>29</v>
      </c>
      <c r="B33" s="37">
        <f>Daily_Plan!B33</f>
        <v>46324</v>
      </c>
      <c r="C33" s="38">
        <f>Tank_Balance!I33</f>
        <v>649</v>
      </c>
      <c r="D33" s="38">
        <f>Tank_Balance!I64</f>
        <v>358</v>
      </c>
      <c r="E33" s="38">
        <f>Tank_Balance!I95</f>
        <v>494</v>
      </c>
      <c r="F33" s="38">
        <f>Tank_Balance!I126</f>
        <v>219</v>
      </c>
      <c r="G33" s="38">
        <f>Tank_Balance!I157</f>
        <v>35.040000000000006</v>
      </c>
      <c r="H33" s="38">
        <f>Tank_Balance!I188</f>
        <v>183.77999999999989</v>
      </c>
      <c r="I33" s="38">
        <f>Tank_Balance!I219</f>
        <v>162.52000000000015</v>
      </c>
      <c r="J33" s="38">
        <f>Tank_Balance!I250</f>
        <v>117.53000000000014</v>
      </c>
      <c r="K33" s="38">
        <f>Tank_Balance!I281</f>
        <v>179.50199999999961</v>
      </c>
      <c r="L33" s="38">
        <f>Tank_Balance!I312</f>
        <v>189.02999999999992</v>
      </c>
      <c r="N33" s="41">
        <f>Tank_Balance!M33</f>
        <v>0.43266666666666664</v>
      </c>
      <c r="O33" s="41">
        <f>Tank_Balance!M64</f>
        <v>0.35799999999999998</v>
      </c>
      <c r="P33" s="41">
        <f>Tank_Balance!M95</f>
        <v>0.54888888888888887</v>
      </c>
      <c r="Q33" s="41">
        <f>Tank_Balance!M126</f>
        <v>0.27374999999999999</v>
      </c>
      <c r="R33" s="41">
        <f>Tank_Balance!M157</f>
        <v>0.58400000000000007</v>
      </c>
      <c r="S33" s="41">
        <f>Tank_Balance!M188</f>
        <v>0.73511999999999955</v>
      </c>
      <c r="T33" s="41">
        <f>Tank_Balance!M219</f>
        <v>0.40630000000000038</v>
      </c>
      <c r="U33" s="41">
        <f>Tank_Balance!M250</f>
        <v>0.39176666666666715</v>
      </c>
      <c r="V33" s="41">
        <f>Tank_Balance!M281</f>
        <v>0.35900399999999921</v>
      </c>
      <c r="W33" s="41">
        <f>Tank_Balance!M312</f>
        <v>0.4725749999999998</v>
      </c>
    </row>
    <row r="34" spans="1:23" x14ac:dyDescent="0.25">
      <c r="A34" s="9">
        <v>30</v>
      </c>
      <c r="B34" s="37">
        <f>Daily_Plan!B34</f>
        <v>46325</v>
      </c>
      <c r="C34" s="38">
        <f>Tank_Balance!I34</f>
        <v>609</v>
      </c>
      <c r="D34" s="38">
        <f>Tank_Balance!I65</f>
        <v>318</v>
      </c>
      <c r="E34" s="38">
        <f>Tank_Balance!I96</f>
        <v>454</v>
      </c>
      <c r="F34" s="38">
        <f>Tank_Balance!I127</f>
        <v>189</v>
      </c>
      <c r="G34" s="38">
        <f>Tank_Balance!I158</f>
        <v>37.360000000000007</v>
      </c>
      <c r="H34" s="38">
        <f>Tank_Balance!I189</f>
        <v>93.379999999999882</v>
      </c>
      <c r="I34" s="38">
        <f>Tank_Balance!I220</f>
        <v>167.64000000000016</v>
      </c>
      <c r="J34" s="38">
        <f>Tank_Balance!I251</f>
        <v>122.83000000000015</v>
      </c>
      <c r="K34" s="38">
        <f>Tank_Balance!I282</f>
        <v>187.77879999999959</v>
      </c>
      <c r="L34" s="38">
        <f>Tank_Balance!I313</f>
        <v>210.34999999999991</v>
      </c>
      <c r="N34" s="41">
        <f>Tank_Balance!M34</f>
        <v>0.40600000000000003</v>
      </c>
      <c r="O34" s="41">
        <f>Tank_Balance!M65</f>
        <v>0.318</v>
      </c>
      <c r="P34" s="41">
        <f>Tank_Balance!M96</f>
        <v>0.50444444444444447</v>
      </c>
      <c r="Q34" s="41">
        <f>Tank_Balance!M127</f>
        <v>0.23624999999999999</v>
      </c>
      <c r="R34" s="41">
        <f>Tank_Balance!M158</f>
        <v>0.62266666666666681</v>
      </c>
      <c r="S34" s="41">
        <f>Tank_Balance!M189</f>
        <v>0.37351999999999952</v>
      </c>
      <c r="T34" s="41">
        <f>Tank_Balance!M220</f>
        <v>0.41910000000000042</v>
      </c>
      <c r="U34" s="41">
        <f>Tank_Balance!M251</f>
        <v>0.40943333333333387</v>
      </c>
      <c r="V34" s="41">
        <f>Tank_Balance!M282</f>
        <v>0.37555759999999916</v>
      </c>
      <c r="W34" s="41">
        <f>Tank_Balance!M313</f>
        <v>0.52587499999999976</v>
      </c>
    </row>
    <row r="35" spans="1:23" x14ac:dyDescent="0.25">
      <c r="A35" s="9">
        <v>31</v>
      </c>
      <c r="B35" s="37">
        <f>Daily_Plan!B35</f>
        <v>46326</v>
      </c>
      <c r="C35" s="38">
        <f>Tank_Balance!I35</f>
        <v>569</v>
      </c>
      <c r="D35" s="38">
        <f>Tank_Balance!I66</f>
        <v>278</v>
      </c>
      <c r="E35" s="38">
        <f>Tank_Balance!I97</f>
        <v>414</v>
      </c>
      <c r="F35" s="38">
        <f>Tank_Balance!I128</f>
        <v>159</v>
      </c>
      <c r="G35" s="38">
        <f>Tank_Balance!I159</f>
        <v>39.680000000000007</v>
      </c>
      <c r="H35" s="38">
        <f>Tank_Balance!I190</f>
        <v>102.97999999999988</v>
      </c>
      <c r="I35" s="38">
        <f>Tank_Balance!I221</f>
        <v>172.76000000000016</v>
      </c>
      <c r="J35" s="38">
        <f>Tank_Balance!I252</f>
        <v>128.13000000000017</v>
      </c>
      <c r="K35" s="38">
        <f>Tank_Balance!I283</f>
        <v>196.05559999999957</v>
      </c>
      <c r="L35" s="38">
        <f>Tank_Balance!I314</f>
        <v>231.6699999999999</v>
      </c>
      <c r="N35" s="41">
        <f>Tank_Balance!M35</f>
        <v>0.37933333333333336</v>
      </c>
      <c r="O35" s="41">
        <f>Tank_Balance!M66</f>
        <v>0.27800000000000002</v>
      </c>
      <c r="P35" s="41">
        <f>Tank_Balance!M97</f>
        <v>0.46</v>
      </c>
      <c r="Q35" s="41">
        <f>Tank_Balance!M128</f>
        <v>0.19875000000000001</v>
      </c>
      <c r="R35" s="41">
        <f>Tank_Balance!M159</f>
        <v>0.66133333333333344</v>
      </c>
      <c r="S35" s="41">
        <f>Tank_Balance!M190</f>
        <v>0.41191999999999951</v>
      </c>
      <c r="T35" s="41">
        <f>Tank_Balance!M221</f>
        <v>0.43190000000000039</v>
      </c>
      <c r="U35" s="41">
        <f>Tank_Balance!M252</f>
        <v>0.42710000000000053</v>
      </c>
      <c r="V35" s="41">
        <f>Tank_Balance!M283</f>
        <v>0.39211119999999916</v>
      </c>
      <c r="W35" s="41">
        <f>Tank_Balance!M314</f>
        <v>0.57917499999999977</v>
      </c>
    </row>
  </sheetData>
  <conditionalFormatting sqref="N5:W35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2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X9" sqref="X9"/>
    </sheetView>
  </sheetViews>
  <sheetFormatPr defaultColWidth="8.7109375" defaultRowHeight="15" customHeight="1" x14ac:dyDescent="0.25"/>
  <cols>
    <col min="1" max="1" width="9" customWidth="1"/>
    <col min="2" max="2" width="13" customWidth="1"/>
    <col min="3" max="3" width="8" customWidth="1"/>
    <col min="4" max="23" width="10" customWidth="1"/>
    <col min="24" max="24" width="13" customWidth="1"/>
  </cols>
  <sheetData>
    <row r="1" spans="1:24" ht="18" x14ac:dyDescent="0.25">
      <c r="A1" s="3" t="s">
        <v>307</v>
      </c>
    </row>
    <row r="2" spans="1:24" x14ac:dyDescent="0.25">
      <c r="A2" s="4" t="s">
        <v>308</v>
      </c>
    </row>
    <row r="4" spans="1:24" ht="31.5" customHeight="1" x14ac:dyDescent="0.25">
      <c r="A4" s="19" t="s">
        <v>222</v>
      </c>
      <c r="B4" s="19" t="s">
        <v>223</v>
      </c>
      <c r="C4" s="19" t="s">
        <v>224</v>
      </c>
      <c r="D4" s="19" t="s">
        <v>309</v>
      </c>
      <c r="E4" s="19" t="s">
        <v>310</v>
      </c>
      <c r="F4" s="19" t="s">
        <v>311</v>
      </c>
      <c r="G4" s="19" t="s">
        <v>312</v>
      </c>
      <c r="H4" s="19" t="s">
        <v>313</v>
      </c>
      <c r="I4" s="19" t="s">
        <v>314</v>
      </c>
      <c r="J4" s="19" t="s">
        <v>229</v>
      </c>
      <c r="K4" s="19" t="s">
        <v>315</v>
      </c>
      <c r="L4" s="19" t="s">
        <v>316</v>
      </c>
      <c r="M4" s="19" t="s">
        <v>230</v>
      </c>
      <c r="N4" s="19" t="s">
        <v>317</v>
      </c>
      <c r="O4" s="19" t="s">
        <v>318</v>
      </c>
      <c r="P4" s="19" t="s">
        <v>244</v>
      </c>
      <c r="Q4" s="19" t="s">
        <v>319</v>
      </c>
      <c r="R4" s="19" t="s">
        <v>251</v>
      </c>
      <c r="S4" s="19" t="s">
        <v>320</v>
      </c>
      <c r="T4" s="19" t="s">
        <v>321</v>
      </c>
      <c r="U4" s="19" t="s">
        <v>322</v>
      </c>
      <c r="V4" s="19" t="s">
        <v>323</v>
      </c>
      <c r="W4" s="19" t="s">
        <v>324</v>
      </c>
      <c r="X4" s="19" t="s">
        <v>325</v>
      </c>
    </row>
    <row r="5" spans="1:24" x14ac:dyDescent="0.25">
      <c r="A5" s="9">
        <v>1</v>
      </c>
      <c r="B5" s="37">
        <f>Daily_Plan!B5</f>
        <v>46296</v>
      </c>
      <c r="C5" s="10" t="str">
        <f>Daily_Plan!C5</f>
        <v>Actual</v>
      </c>
      <c r="D5" s="38">
        <f>Daily_Plan!J5</f>
        <v>150</v>
      </c>
      <c r="E5" s="9" t="str">
        <f>IF(AND(D5&gt;=Unit_Data!$D$5-0.001,D5&lt;=Unit_Data!$D$4+0.001),"OK","VIOL")</f>
        <v>OK</v>
      </c>
      <c r="F5" s="42">
        <f>SUMPRODUCT(--(Daily_Plan!D5:G5&gt;Crude_Data!$C$13:$F$13+0.001))+SUMPRODUCT(--(Daily_Plan!D5:G5&lt;Crude_Data!$C$14:$F$14-0.001))</f>
        <v>0</v>
      </c>
      <c r="G5" s="9" t="str">
        <f t="shared" ref="G5:G35" si="0">IF(F5=0,"OK","VIOL")</f>
        <v>OK</v>
      </c>
      <c r="H5" s="9" t="s">
        <v>326</v>
      </c>
      <c r="I5" s="9" t="s">
        <v>326</v>
      </c>
      <c r="J5" s="38">
        <f>Daily_Plan!H5</f>
        <v>22</v>
      </c>
      <c r="K5" s="9" t="str">
        <f>IF(AND(J5&gt;=Unit_Data!$D$9-0.001,J5&lt;=Unit_Data!$D$8+0.001),"OK","VIOL")</f>
        <v>OK</v>
      </c>
      <c r="L5" s="9" t="str">
        <f>IF(J5&lt;=Daily_Plan!L5+0.001,"OK","VIOL")</f>
        <v>OK</v>
      </c>
      <c r="M5" s="38">
        <f>Daily_Plan!I5</f>
        <v>32</v>
      </c>
      <c r="N5" s="9" t="str">
        <f>IF(AND(M5&gt;=Unit_Data!$D$15-0.001,M5&lt;=Unit_Data!$D$14+0.001),"OK","VIOL")</f>
        <v>OK</v>
      </c>
      <c r="O5" s="9" t="str">
        <f>IF(M5&lt;=Daily_Plan!O5+0.001,"OK","VIOL")</f>
        <v>OK</v>
      </c>
      <c r="P5" s="38">
        <f>Daily_Plan!W5</f>
        <v>44.16</v>
      </c>
      <c r="Q5" s="9" t="str">
        <f>IF(AND(P5&gt;=Unit_Data!$D$23-0.001,P5&lt;=Unit_Data!$D$22+0.001),"OK","VIOL")</f>
        <v>OK</v>
      </c>
      <c r="R5" s="43">
        <f>Daily_Plan!AD5</f>
        <v>95.157175398633242</v>
      </c>
      <c r="S5" s="9" t="str">
        <f>IF(R5&gt;=Unit_Data!$D$28-0.001,"OK","VIOL")</f>
        <v>OK</v>
      </c>
      <c r="T5" s="43">
        <f>Daily_Plan!P5</f>
        <v>1.461089494163424</v>
      </c>
      <c r="U5" s="9" t="str">
        <f>IF(T5&lt;=Unit_Data!$D$29+0.0001,"OK","VIOL")</f>
        <v>OK</v>
      </c>
      <c r="V5" s="42">
        <f>COUNTIFS(Tank_Balance!$D$5:$D$314,A5,Tank_Balance!$L$5:$L$314,"&lt;&gt;OK")</f>
        <v>0</v>
      </c>
      <c r="W5" s="9" t="str">
        <f t="shared" ref="W5:W35" si="1">IF(V5=0,"OK","VIOL")</f>
        <v>OK</v>
      </c>
      <c r="X5" s="21" t="str">
        <f t="shared" ref="X5:X35" si="2">IF(COUNTIF(E5:W5,"VIOL")=0,"FEASIBLE","INFEASIBLE")</f>
        <v>FEASIBLE</v>
      </c>
    </row>
    <row r="6" spans="1:24" x14ac:dyDescent="0.25">
      <c r="A6" s="9">
        <v>2</v>
      </c>
      <c r="B6" s="37">
        <f>Daily_Plan!B6</f>
        <v>46297</v>
      </c>
      <c r="C6" s="10" t="str">
        <f>Daily_Plan!C6</f>
        <v>Actual</v>
      </c>
      <c r="D6" s="38">
        <f>Daily_Plan!J6</f>
        <v>150</v>
      </c>
      <c r="E6" s="9" t="str">
        <f>IF(AND(D6&gt;=Unit_Data!$D$5-0.001,D6&lt;=Unit_Data!$D$4+0.001),"OK","VIOL")</f>
        <v>OK</v>
      </c>
      <c r="F6" s="42">
        <f>SUMPRODUCT(--(Daily_Plan!D6:G6&gt;Crude_Data!$C$13:$F$13+0.001))+SUMPRODUCT(--(Daily_Plan!D6:G6&lt;Crude_Data!$C$14:$F$14-0.001))</f>
        <v>0</v>
      </c>
      <c r="G6" s="9" t="str">
        <f t="shared" si="0"/>
        <v>OK</v>
      </c>
      <c r="H6" s="23">
        <f t="shared" ref="H6:H35" si="3">D6-D5</f>
        <v>0</v>
      </c>
      <c r="I6" s="9" t="str">
        <f>IF(ABS(H6)&lt;=Unit_Data!$D$6+0.001,"OK","VIOL")</f>
        <v>OK</v>
      </c>
      <c r="J6" s="38">
        <f>Daily_Plan!H6</f>
        <v>22</v>
      </c>
      <c r="K6" s="9" t="str">
        <f>IF(AND(J6&gt;=Unit_Data!$D$9-0.001,J6&lt;=Unit_Data!$D$8+0.001),"OK","VIOL")</f>
        <v>OK</v>
      </c>
      <c r="L6" s="9" t="str">
        <f>IF(J6&lt;=Daily_Plan!L6+0.001,"OK","VIOL")</f>
        <v>OK</v>
      </c>
      <c r="M6" s="38">
        <f>Daily_Plan!I6</f>
        <v>32</v>
      </c>
      <c r="N6" s="9" t="str">
        <f>IF(AND(M6&gt;=Unit_Data!$D$15-0.001,M6&lt;=Unit_Data!$D$14+0.001),"OK","VIOL")</f>
        <v>OK</v>
      </c>
      <c r="O6" s="9" t="str">
        <f>IF(M6&lt;=Daily_Plan!O6+0.001,"OK","VIOL")</f>
        <v>OK</v>
      </c>
      <c r="P6" s="38">
        <f>Daily_Plan!W6</f>
        <v>44.16</v>
      </c>
      <c r="Q6" s="9" t="str">
        <f>IF(AND(P6&gt;=Unit_Data!$D$23-0.001,P6&lt;=Unit_Data!$D$22+0.001),"OK","VIOL")</f>
        <v>OK</v>
      </c>
      <c r="R6" s="43">
        <f>Daily_Plan!AD6</f>
        <v>95.157175398633242</v>
      </c>
      <c r="S6" s="9" t="str">
        <f>IF(R6&gt;=Unit_Data!$D$28-0.001,"OK","VIOL")</f>
        <v>OK</v>
      </c>
      <c r="T6" s="43">
        <f>Daily_Plan!P6</f>
        <v>1.461089494163424</v>
      </c>
      <c r="U6" s="9" t="str">
        <f>IF(T6&lt;=Unit_Data!$D$29+0.0001,"OK","VIOL")</f>
        <v>OK</v>
      </c>
      <c r="V6" s="42">
        <f>COUNTIFS(Tank_Balance!$D$5:$D$314,A6,Tank_Balance!$L$5:$L$314,"&lt;&gt;OK")</f>
        <v>0</v>
      </c>
      <c r="W6" s="9" t="str">
        <f t="shared" si="1"/>
        <v>OK</v>
      </c>
      <c r="X6" s="21" t="str">
        <f t="shared" si="2"/>
        <v>FEASIBLE</v>
      </c>
    </row>
    <row r="7" spans="1:24" x14ac:dyDescent="0.25">
      <c r="A7" s="9">
        <v>3</v>
      </c>
      <c r="B7" s="37">
        <f>Daily_Plan!B7</f>
        <v>46298</v>
      </c>
      <c r="C7" s="10" t="str">
        <f>Daily_Plan!C7</f>
        <v>Actual</v>
      </c>
      <c r="D7" s="38">
        <f>Daily_Plan!J7</f>
        <v>150</v>
      </c>
      <c r="E7" s="9" t="str">
        <f>IF(AND(D7&gt;=Unit_Data!$D$5-0.001,D7&lt;=Unit_Data!$D$4+0.001),"OK","VIOL")</f>
        <v>OK</v>
      </c>
      <c r="F7" s="42">
        <f>SUMPRODUCT(--(Daily_Plan!D7:G7&gt;Crude_Data!$C$13:$F$13+0.001))+SUMPRODUCT(--(Daily_Plan!D7:G7&lt;Crude_Data!$C$14:$F$14-0.001))</f>
        <v>0</v>
      </c>
      <c r="G7" s="9" t="str">
        <f t="shared" si="0"/>
        <v>OK</v>
      </c>
      <c r="H7" s="23">
        <f t="shared" si="3"/>
        <v>0</v>
      </c>
      <c r="I7" s="9" t="str">
        <f>IF(ABS(H7)&lt;=Unit_Data!$D$6+0.001,"OK","VIOL")</f>
        <v>OK</v>
      </c>
      <c r="J7" s="38">
        <f>Daily_Plan!H7</f>
        <v>23</v>
      </c>
      <c r="K7" s="9" t="str">
        <f>IF(AND(J7&gt;=Unit_Data!$D$9-0.001,J7&lt;=Unit_Data!$D$8+0.001),"OK","VIOL")</f>
        <v>OK</v>
      </c>
      <c r="L7" s="9" t="str">
        <f>IF(J7&lt;=Daily_Plan!L7+0.001,"OK","VIOL")</f>
        <v>OK</v>
      </c>
      <c r="M7" s="38">
        <f>Daily_Plan!I7</f>
        <v>33</v>
      </c>
      <c r="N7" s="9" t="str">
        <f>IF(AND(M7&gt;=Unit_Data!$D$15-0.001,M7&lt;=Unit_Data!$D$14+0.001),"OK","VIOL")</f>
        <v>OK</v>
      </c>
      <c r="O7" s="9" t="str">
        <f>IF(M7&lt;=Daily_Plan!O7+0.001,"OK","VIOL")</f>
        <v>OK</v>
      </c>
      <c r="P7" s="38">
        <f>Daily_Plan!W7</f>
        <v>44.4</v>
      </c>
      <c r="Q7" s="9" t="str">
        <f>IF(AND(P7&gt;=Unit_Data!$D$23-0.001,P7&lt;=Unit_Data!$D$22+0.001),"OK","VIOL")</f>
        <v>OK</v>
      </c>
      <c r="R7" s="43">
        <f>Daily_Plan!AD7</f>
        <v>95.177631578947356</v>
      </c>
      <c r="S7" s="9" t="str">
        <f>IF(R7&gt;=Unit_Data!$D$28-0.001,"OK","VIOL")</f>
        <v>OK</v>
      </c>
      <c r="T7" s="43">
        <f>Daily_Plan!P7</f>
        <v>1.469799766718507</v>
      </c>
      <c r="U7" s="9" t="str">
        <f>IF(T7&lt;=Unit_Data!$D$29+0.0001,"OK","VIOL")</f>
        <v>OK</v>
      </c>
      <c r="V7" s="42">
        <f>COUNTIFS(Tank_Balance!$D$5:$D$314,A7,Tank_Balance!$L$5:$L$314,"&lt;&gt;OK")</f>
        <v>0</v>
      </c>
      <c r="W7" s="9" t="str">
        <f t="shared" si="1"/>
        <v>OK</v>
      </c>
      <c r="X7" s="21" t="str">
        <f t="shared" si="2"/>
        <v>FEASIBLE</v>
      </c>
    </row>
    <row r="8" spans="1:24" x14ac:dyDescent="0.25">
      <c r="A8" s="9">
        <v>4</v>
      </c>
      <c r="B8" s="37">
        <f>Daily_Plan!B8</f>
        <v>46299</v>
      </c>
      <c r="C8" s="10" t="str">
        <f>Daily_Plan!C8</f>
        <v>Actual</v>
      </c>
      <c r="D8" s="38">
        <f>Daily_Plan!J8</f>
        <v>142</v>
      </c>
      <c r="E8" s="9" t="str">
        <f>IF(AND(D8&gt;=Unit_Data!$D$5-0.001,D8&lt;=Unit_Data!$D$4+0.001),"OK","VIOL")</f>
        <v>OK</v>
      </c>
      <c r="F8" s="42">
        <f>SUMPRODUCT(--(Daily_Plan!D8:G8&gt;Crude_Data!$C$13:$F$13+0.001))+SUMPRODUCT(--(Daily_Plan!D8:G8&lt;Crude_Data!$C$14:$F$14-0.001))</f>
        <v>0</v>
      </c>
      <c r="G8" s="9" t="str">
        <f t="shared" si="0"/>
        <v>OK</v>
      </c>
      <c r="H8" s="23">
        <f t="shared" si="3"/>
        <v>-8</v>
      </c>
      <c r="I8" s="9" t="str">
        <f>IF(ABS(H8)&lt;=Unit_Data!$D$6+0.001,"OK","VIOL")</f>
        <v>OK</v>
      </c>
      <c r="J8" s="38">
        <f>Daily_Plan!H8</f>
        <v>21</v>
      </c>
      <c r="K8" s="9" t="str">
        <f>IF(AND(J8&gt;=Unit_Data!$D$9-0.001,J8&lt;=Unit_Data!$D$8+0.001),"OK","VIOL")</f>
        <v>OK</v>
      </c>
      <c r="L8" s="9" t="str">
        <f>IF(J8&lt;=Daily_Plan!L8+0.001,"OK","VIOL")</f>
        <v>OK</v>
      </c>
      <c r="M8" s="38">
        <f>Daily_Plan!I8</f>
        <v>30</v>
      </c>
      <c r="N8" s="9" t="str">
        <f>IF(AND(M8&gt;=Unit_Data!$D$15-0.001,M8&lt;=Unit_Data!$D$14+0.001),"OK","VIOL")</f>
        <v>OK</v>
      </c>
      <c r="O8" s="9" t="str">
        <f>IF(M8&lt;=Daily_Plan!O8+0.001,"OK","VIOL")</f>
        <v>OK</v>
      </c>
      <c r="P8" s="38">
        <f>Daily_Plan!W8</f>
        <v>41.78</v>
      </c>
      <c r="Q8" s="9" t="str">
        <f>IF(AND(P8&gt;=Unit_Data!$D$23-0.001,P8&lt;=Unit_Data!$D$22+0.001),"OK","VIOL")</f>
        <v>OK</v>
      </c>
      <c r="R8" s="43">
        <f>Daily_Plan!AD8</f>
        <v>95.184115523465707</v>
      </c>
      <c r="S8" s="9" t="str">
        <f>IF(R8&gt;=Unit_Data!$D$28-0.001,"OK","VIOL")</f>
        <v>OK</v>
      </c>
      <c r="T8" s="43">
        <f>Daily_Plan!P8</f>
        <v>1.4741687192118229</v>
      </c>
      <c r="U8" s="9" t="str">
        <f>IF(T8&lt;=Unit_Data!$D$29+0.0001,"OK","VIOL")</f>
        <v>OK</v>
      </c>
      <c r="V8" s="42">
        <f>COUNTIFS(Tank_Balance!$D$5:$D$314,A8,Tank_Balance!$L$5:$L$314,"&lt;&gt;OK")</f>
        <v>0</v>
      </c>
      <c r="W8" s="9" t="str">
        <f t="shared" si="1"/>
        <v>OK</v>
      </c>
      <c r="X8" s="21" t="str">
        <f t="shared" si="2"/>
        <v>FEASIBLE</v>
      </c>
    </row>
    <row r="9" spans="1:24" x14ac:dyDescent="0.25">
      <c r="A9" s="9">
        <v>5</v>
      </c>
      <c r="B9" s="37">
        <f>Daily_Plan!B9</f>
        <v>46300</v>
      </c>
      <c r="C9" s="10" t="str">
        <f>Daily_Plan!C9</f>
        <v>Actual</v>
      </c>
      <c r="D9" s="38">
        <f>Daily_Plan!J9</f>
        <v>132</v>
      </c>
      <c r="E9" s="9" t="str">
        <f>IF(AND(D9&gt;=Unit_Data!$D$5-0.001,D9&lt;=Unit_Data!$D$4+0.001),"OK","VIOL")</f>
        <v>OK</v>
      </c>
      <c r="F9" s="42">
        <f>SUMPRODUCT(--(Daily_Plan!D9:G9&gt;Crude_Data!$C$13:$F$13+0.001))+SUMPRODUCT(--(Daily_Plan!D9:G9&lt;Crude_Data!$C$14:$F$14-0.001))</f>
        <v>0</v>
      </c>
      <c r="G9" s="9" t="str">
        <f t="shared" si="0"/>
        <v>OK</v>
      </c>
      <c r="H9" s="23">
        <f t="shared" si="3"/>
        <v>-10</v>
      </c>
      <c r="I9" s="9" t="str">
        <f>IF(ABS(H9)&lt;=Unit_Data!$D$6+0.001,"OK","VIOL")</f>
        <v>OK</v>
      </c>
      <c r="J9" s="38">
        <f>Daily_Plan!H9</f>
        <v>19</v>
      </c>
      <c r="K9" s="9" t="str">
        <f>IF(AND(J9&gt;=Unit_Data!$D$9-0.001,J9&lt;=Unit_Data!$D$8+0.001),"OK","VIOL")</f>
        <v>OK</v>
      </c>
      <c r="L9" s="9" t="str">
        <f>IF(J9&lt;=Daily_Plan!L9+0.001,"OK","VIOL")</f>
        <v>OK</v>
      </c>
      <c r="M9" s="38">
        <f>Daily_Plan!I9</f>
        <v>28</v>
      </c>
      <c r="N9" s="9" t="str">
        <f>IF(AND(M9&gt;=Unit_Data!$D$15-0.001,M9&lt;=Unit_Data!$D$14+0.001),"OK","VIOL")</f>
        <v>OK</v>
      </c>
      <c r="O9" s="9" t="str">
        <f>IF(M9&lt;=Daily_Plan!O9+0.001,"OK","VIOL")</f>
        <v>OK</v>
      </c>
      <c r="P9" s="38">
        <f>Daily_Plan!W9</f>
        <v>38.94</v>
      </c>
      <c r="Q9" s="9" t="str">
        <f>IF(AND(P9&gt;=Unit_Data!$D$23-0.001,P9&lt;=Unit_Data!$D$22+0.001),"OK","VIOL")</f>
        <v>OK</v>
      </c>
      <c r="R9" s="43">
        <f>Daily_Plan!AD9</f>
        <v>95.137614678899084</v>
      </c>
      <c r="S9" s="9" t="str">
        <f>IF(R9&gt;=Unit_Data!$D$28-0.001,"OK","VIOL")</f>
        <v>OK</v>
      </c>
      <c r="T9" s="43">
        <f>Daily_Plan!P9</f>
        <v>1.4487028824833703</v>
      </c>
      <c r="U9" s="9" t="str">
        <f>IF(T9&lt;=Unit_Data!$D$29+0.0001,"OK","VIOL")</f>
        <v>OK</v>
      </c>
      <c r="V9" s="42">
        <f>COUNTIFS(Tank_Balance!$D$5:$D$314,A9,Tank_Balance!$L$5:$L$314,"&lt;&gt;OK")</f>
        <v>0</v>
      </c>
      <c r="W9" s="9" t="str">
        <f t="shared" si="1"/>
        <v>OK</v>
      </c>
      <c r="X9" s="21" t="str">
        <f>IF(COUNTIF(E9:W9,"VIOL")=0,"FEASIBLE","INFEASIBLE")</f>
        <v>FEASIBLE</v>
      </c>
    </row>
    <row r="10" spans="1:24" x14ac:dyDescent="0.25">
      <c r="A10" s="9">
        <v>6</v>
      </c>
      <c r="B10" s="37">
        <f>Daily_Plan!B10</f>
        <v>46301</v>
      </c>
      <c r="C10" s="10" t="str">
        <f>Daily_Plan!C10</f>
        <v>Actual</v>
      </c>
      <c r="D10" s="38">
        <f>Daily_Plan!J10</f>
        <v>139</v>
      </c>
      <c r="E10" s="9" t="str">
        <f>IF(AND(D10&gt;=Unit_Data!$D$5-0.001,D10&lt;=Unit_Data!$D$4+0.001),"OK","VIOL")</f>
        <v>OK</v>
      </c>
      <c r="F10" s="42">
        <f>SUMPRODUCT(--(Daily_Plan!D10:G10&gt;Crude_Data!$C$13:$F$13+0.001))+SUMPRODUCT(--(Daily_Plan!D10:G10&lt;Crude_Data!$C$14:$F$14-0.001))</f>
        <v>0</v>
      </c>
      <c r="G10" s="9" t="str">
        <f t="shared" si="0"/>
        <v>OK</v>
      </c>
      <c r="H10" s="23">
        <f t="shared" si="3"/>
        <v>7</v>
      </c>
      <c r="I10" s="9" t="str">
        <f>IF(ABS(H10)&lt;=Unit_Data!$D$6+0.001,"OK","VIOL")</f>
        <v>OK</v>
      </c>
      <c r="J10" s="38">
        <f>Daily_Plan!H10</f>
        <v>20</v>
      </c>
      <c r="K10" s="9" t="str">
        <f>IF(AND(J10&gt;=Unit_Data!$D$9-0.001,J10&lt;=Unit_Data!$D$8+0.001),"OK","VIOL")</f>
        <v>OK</v>
      </c>
      <c r="L10" s="9" t="str">
        <f>IF(J10&lt;=Daily_Plan!L10+0.001,"OK","VIOL")</f>
        <v>OK</v>
      </c>
      <c r="M10" s="38">
        <f>Daily_Plan!I10</f>
        <v>30</v>
      </c>
      <c r="N10" s="9" t="str">
        <f>IF(AND(M10&gt;=Unit_Data!$D$15-0.001,M10&lt;=Unit_Data!$D$14+0.001),"OK","VIOL")</f>
        <v>OK</v>
      </c>
      <c r="O10" s="9" t="str">
        <f>IF(M10&lt;=Daily_Plan!O10+0.001,"OK","VIOL")</f>
        <v>OK</v>
      </c>
      <c r="P10" s="38">
        <f>Daily_Plan!W10</f>
        <v>41.08</v>
      </c>
      <c r="Q10" s="9" t="str">
        <f>IF(AND(P10&gt;=Unit_Data!$D$23-0.001,P10&lt;=Unit_Data!$D$22+0.001),"OK","VIOL")</f>
        <v>OK</v>
      </c>
      <c r="R10" s="43">
        <f>Daily_Plan!AD10</f>
        <v>95.1111111111111</v>
      </c>
      <c r="S10" s="9" t="str">
        <f>IF(R10&gt;=Unit_Data!$D$28-0.001,"OK","VIOL")</f>
        <v>OK</v>
      </c>
      <c r="T10" s="43">
        <f>Daily_Plan!P10</f>
        <v>1.4528075709779182</v>
      </c>
      <c r="U10" s="9" t="str">
        <f>IF(T10&lt;=Unit_Data!$D$29+0.0001,"OK","VIOL")</f>
        <v>OK</v>
      </c>
      <c r="V10" s="42">
        <f>COUNTIFS(Tank_Balance!$D$5:$D$314,A10,Tank_Balance!$L$5:$L$314,"&lt;&gt;OK")</f>
        <v>0</v>
      </c>
      <c r="W10" s="9" t="str">
        <f t="shared" si="1"/>
        <v>OK</v>
      </c>
      <c r="X10" s="21" t="str">
        <f t="shared" si="2"/>
        <v>FEASIBLE</v>
      </c>
    </row>
    <row r="11" spans="1:24" x14ac:dyDescent="0.25">
      <c r="A11" s="9">
        <v>7</v>
      </c>
      <c r="B11" s="37">
        <f>Daily_Plan!B11</f>
        <v>46302</v>
      </c>
      <c r="C11" s="10" t="str">
        <f>Daily_Plan!C11</f>
        <v>Actual</v>
      </c>
      <c r="D11" s="38">
        <f>Daily_Plan!J11</f>
        <v>147</v>
      </c>
      <c r="E11" s="9" t="str">
        <f>IF(AND(D11&gt;=Unit_Data!$D$5-0.001,D11&lt;=Unit_Data!$D$4+0.001),"OK","VIOL")</f>
        <v>OK</v>
      </c>
      <c r="F11" s="42">
        <f>SUMPRODUCT(--(Daily_Plan!D11:G11&gt;Crude_Data!$C$13:$F$13+0.001))+SUMPRODUCT(--(Daily_Plan!D11:G11&lt;Crude_Data!$C$14:$F$14-0.001))</f>
        <v>0</v>
      </c>
      <c r="G11" s="9" t="str">
        <f t="shared" si="0"/>
        <v>OK</v>
      </c>
      <c r="H11" s="23">
        <f t="shared" si="3"/>
        <v>8</v>
      </c>
      <c r="I11" s="9" t="str">
        <f>IF(ABS(H11)&lt;=Unit_Data!$D$6+0.001,"OK","VIOL")</f>
        <v>OK</v>
      </c>
      <c r="J11" s="38">
        <f>Daily_Plan!H11</f>
        <v>22</v>
      </c>
      <c r="K11" s="9" t="str">
        <f>IF(AND(J11&gt;=Unit_Data!$D$9-0.001,J11&lt;=Unit_Data!$D$8+0.001),"OK","VIOL")</f>
        <v>OK</v>
      </c>
      <c r="L11" s="9" t="str">
        <f>IF(J11&lt;=Daily_Plan!L11+0.001,"OK","VIOL")</f>
        <v>OK</v>
      </c>
      <c r="M11" s="38">
        <f>Daily_Plan!I11</f>
        <v>32</v>
      </c>
      <c r="N11" s="9" t="str">
        <f>IF(AND(M11&gt;=Unit_Data!$D$15-0.001,M11&lt;=Unit_Data!$D$14+0.001),"OK","VIOL")</f>
        <v>OK</v>
      </c>
      <c r="O11" s="9" t="str">
        <f>IF(M11&lt;=Daily_Plan!O11+0.001,"OK","VIOL")</f>
        <v>OK</v>
      </c>
      <c r="P11" s="38">
        <f>Daily_Plan!W11</f>
        <v>43.519999999999996</v>
      </c>
      <c r="Q11" s="9" t="str">
        <f>IF(AND(P11&gt;=Unit_Data!$D$23-0.001,P11&lt;=Unit_Data!$D$22+0.001),"OK","VIOL")</f>
        <v>OK</v>
      </c>
      <c r="R11" s="43">
        <f>Daily_Plan!AD11</f>
        <v>95.157175398633242</v>
      </c>
      <c r="S11" s="9" t="str">
        <f>IF(R11&gt;=Unit_Data!$D$28-0.001,"OK","VIOL")</f>
        <v>OK</v>
      </c>
      <c r="T11" s="43">
        <f>Daily_Plan!P11</f>
        <v>1.4494927392082755</v>
      </c>
      <c r="U11" s="9" t="str">
        <f>IF(T11&lt;=Unit_Data!$D$29+0.0001,"OK","VIOL")</f>
        <v>OK</v>
      </c>
      <c r="V11" s="42">
        <f>COUNTIFS(Tank_Balance!$D$5:$D$314,A11,Tank_Balance!$L$5:$L$314,"&lt;&gt;OK")</f>
        <v>0</v>
      </c>
      <c r="W11" s="9" t="str">
        <f t="shared" si="1"/>
        <v>OK</v>
      </c>
      <c r="X11" s="21" t="str">
        <f>IF(COUNTIF(E11:W11,"VIOL")=0,"FEASIBLE","INFEASIBLE")</f>
        <v>FEASIBLE</v>
      </c>
    </row>
    <row r="12" spans="1:24" x14ac:dyDescent="0.25">
      <c r="A12" s="9">
        <v>8</v>
      </c>
      <c r="B12" s="37">
        <f>Daily_Plan!B12</f>
        <v>46303</v>
      </c>
      <c r="C12" s="10" t="str">
        <f>Daily_Plan!C12</f>
        <v>Actual</v>
      </c>
      <c r="D12" s="38">
        <f>Daily_Plan!J12</f>
        <v>150</v>
      </c>
      <c r="E12" s="9" t="str">
        <f>IF(AND(D12&gt;=Unit_Data!$D$5-0.001,D12&lt;=Unit_Data!$D$4+0.001),"OK","VIOL")</f>
        <v>OK</v>
      </c>
      <c r="F12" s="42">
        <f>SUMPRODUCT(--(Daily_Plan!D12:G12&gt;Crude_Data!$C$13:$F$13+0.001))+SUMPRODUCT(--(Daily_Plan!D12:G12&lt;Crude_Data!$C$14:$F$14-0.001))</f>
        <v>0</v>
      </c>
      <c r="G12" s="9" t="str">
        <f t="shared" si="0"/>
        <v>OK</v>
      </c>
      <c r="H12" s="23">
        <f t="shared" si="3"/>
        <v>3</v>
      </c>
      <c r="I12" s="9" t="str">
        <f>IF(ABS(H12)&lt;=Unit_Data!$D$6+0.001,"OK","VIOL")</f>
        <v>OK</v>
      </c>
      <c r="J12" s="38">
        <f>Daily_Plan!H12</f>
        <v>22</v>
      </c>
      <c r="K12" s="9" t="str">
        <f>IF(AND(J12&gt;=Unit_Data!$D$9-0.001,J12&lt;=Unit_Data!$D$8+0.001),"OK","VIOL")</f>
        <v>OK</v>
      </c>
      <c r="L12" s="9" t="str">
        <f>IF(J12&lt;=Daily_Plan!L12+0.001,"OK","VIOL")</f>
        <v>OK</v>
      </c>
      <c r="M12" s="38">
        <f>Daily_Plan!I12</f>
        <v>33</v>
      </c>
      <c r="N12" s="9" t="str">
        <f>IF(AND(M12&gt;=Unit_Data!$D$15-0.001,M12&lt;=Unit_Data!$D$14+0.001),"OK","VIOL")</f>
        <v>OK</v>
      </c>
      <c r="O12" s="9" t="str">
        <f>IF(M12&lt;=Daily_Plan!O12+0.001,"OK","VIOL")</f>
        <v>OK</v>
      </c>
      <c r="P12" s="38">
        <f>Daily_Plan!W12</f>
        <v>44.339999999999996</v>
      </c>
      <c r="Q12" s="9" t="str">
        <f>IF(AND(P12&gt;=Unit_Data!$D$23-0.001,P12&lt;=Unit_Data!$D$22+0.001),"OK","VIOL")</f>
        <v>OK</v>
      </c>
      <c r="R12" s="43">
        <f>Daily_Plan!AD12</f>
        <v>95.111111111111114</v>
      </c>
      <c r="S12" s="9" t="str">
        <f>IF(R12&gt;=Unit_Data!$D$28-0.001,"OK","VIOL")</f>
        <v>OK</v>
      </c>
      <c r="T12" s="43">
        <f>Daily_Plan!P12</f>
        <v>1.461089494163424</v>
      </c>
      <c r="U12" s="9" t="str">
        <f>IF(T12&lt;=Unit_Data!$D$29+0.0001,"OK","VIOL")</f>
        <v>OK</v>
      </c>
      <c r="V12" s="42">
        <f>COUNTIFS(Tank_Balance!$D$5:$D$314,A12,Tank_Balance!$L$5:$L$314,"&lt;&gt;OK")</f>
        <v>0</v>
      </c>
      <c r="W12" s="9" t="str">
        <f t="shared" si="1"/>
        <v>OK</v>
      </c>
      <c r="X12" s="21" t="str">
        <f t="shared" si="2"/>
        <v>FEASIBLE</v>
      </c>
    </row>
    <row r="13" spans="1:24" x14ac:dyDescent="0.25">
      <c r="A13" s="9">
        <v>9</v>
      </c>
      <c r="B13" s="37">
        <f>Daily_Plan!B13</f>
        <v>46304</v>
      </c>
      <c r="C13" s="10" t="str">
        <f>Daily_Plan!C13</f>
        <v>Actual</v>
      </c>
      <c r="D13" s="38">
        <f>Daily_Plan!J13</f>
        <v>150</v>
      </c>
      <c r="E13" s="9" t="str">
        <f>IF(AND(D13&gt;=Unit_Data!$D$5-0.001,D13&lt;=Unit_Data!$D$4+0.001),"OK","VIOL")</f>
        <v>OK</v>
      </c>
      <c r="F13" s="42">
        <f>SUMPRODUCT(--(Daily_Plan!D13:G13&gt;Crude_Data!$C$13:$F$13+0.001))+SUMPRODUCT(--(Daily_Plan!D13:G13&lt;Crude_Data!$C$14:$F$14-0.001))</f>
        <v>0</v>
      </c>
      <c r="G13" s="9" t="str">
        <f t="shared" si="0"/>
        <v>OK</v>
      </c>
      <c r="H13" s="23">
        <f t="shared" si="3"/>
        <v>0</v>
      </c>
      <c r="I13" s="9" t="str">
        <f>IF(ABS(H13)&lt;=Unit_Data!$D$6+0.001,"OK","VIOL")</f>
        <v>OK</v>
      </c>
      <c r="J13" s="38">
        <f>Daily_Plan!H13</f>
        <v>23</v>
      </c>
      <c r="K13" s="9" t="str">
        <f>IF(AND(J13&gt;=Unit_Data!$D$9-0.001,J13&lt;=Unit_Data!$D$8+0.001),"OK","VIOL")</f>
        <v>OK</v>
      </c>
      <c r="L13" s="9" t="str">
        <f>IF(J13&lt;=Daily_Plan!L13+0.001,"OK","VIOL")</f>
        <v>OK</v>
      </c>
      <c r="M13" s="38">
        <f>Daily_Plan!I13</f>
        <v>33</v>
      </c>
      <c r="N13" s="9" t="str">
        <f>IF(AND(M13&gt;=Unit_Data!$D$15-0.001,M13&lt;=Unit_Data!$D$14+0.001),"OK","VIOL")</f>
        <v>OK</v>
      </c>
      <c r="O13" s="9" t="str">
        <f>IF(M13&lt;=Daily_Plan!O13+0.001,"OK","VIOL")</f>
        <v>OK</v>
      </c>
      <c r="P13" s="38">
        <f>Daily_Plan!W13</f>
        <v>44.32</v>
      </c>
      <c r="Q13" s="9" t="str">
        <f>IF(AND(P13&gt;=Unit_Data!$D$23-0.001,P13&lt;=Unit_Data!$D$22+0.001),"OK","VIOL")</f>
        <v>OK</v>
      </c>
      <c r="R13" s="43">
        <f>Daily_Plan!AD13</f>
        <v>95.177631578947356</v>
      </c>
      <c r="S13" s="9" t="str">
        <f>IF(R13&gt;=Unit_Data!$D$28-0.001,"OK","VIOL")</f>
        <v>OK</v>
      </c>
      <c r="T13" s="43">
        <f>Daily_Plan!P13</f>
        <v>1.461563169164882</v>
      </c>
      <c r="U13" s="9" t="str">
        <f>IF(T13&lt;=Unit_Data!$D$29+0.0001,"OK","VIOL")</f>
        <v>OK</v>
      </c>
      <c r="V13" s="42">
        <f>COUNTIFS(Tank_Balance!$D$5:$D$314,A13,Tank_Balance!$L$5:$L$314,"&lt;&gt;OK")</f>
        <v>0</v>
      </c>
      <c r="W13" s="9" t="str">
        <f t="shared" si="1"/>
        <v>OK</v>
      </c>
      <c r="X13" s="21" t="str">
        <f t="shared" si="2"/>
        <v>FEASIBLE</v>
      </c>
    </row>
    <row r="14" spans="1:24" x14ac:dyDescent="0.25">
      <c r="A14" s="9">
        <v>10</v>
      </c>
      <c r="B14" s="37">
        <f>Daily_Plan!B14</f>
        <v>46305</v>
      </c>
      <c r="C14" s="10" t="str">
        <f>Daily_Plan!C14</f>
        <v>Actual</v>
      </c>
      <c r="D14" s="38">
        <f>Daily_Plan!J14</f>
        <v>150</v>
      </c>
      <c r="E14" s="9" t="str">
        <f>IF(AND(D14&gt;=Unit_Data!$D$5-0.001,D14&lt;=Unit_Data!$D$4+0.001),"OK","VIOL")</f>
        <v>OK</v>
      </c>
      <c r="F14" s="42">
        <f>SUMPRODUCT(--(Daily_Plan!D14:G14&gt;Crude_Data!$C$13:$F$13+0.001))+SUMPRODUCT(--(Daily_Plan!D14:G14&lt;Crude_Data!$C$14:$F$14-0.001))</f>
        <v>0</v>
      </c>
      <c r="G14" s="9" t="str">
        <f t="shared" si="0"/>
        <v>OK</v>
      </c>
      <c r="H14" s="23">
        <f t="shared" si="3"/>
        <v>0</v>
      </c>
      <c r="I14" s="9" t="str">
        <f>IF(ABS(H14)&lt;=Unit_Data!$D$6+0.001,"OK","VIOL")</f>
        <v>OK</v>
      </c>
      <c r="J14" s="38">
        <f>Daily_Plan!H14</f>
        <v>22</v>
      </c>
      <c r="K14" s="9" t="str">
        <f>IF(AND(J14&gt;=Unit_Data!$D$9-0.001,J14&lt;=Unit_Data!$D$8+0.001),"OK","VIOL")</f>
        <v>OK</v>
      </c>
      <c r="L14" s="9" t="str">
        <f>IF(J14&lt;=Daily_Plan!L14+0.001,"OK","VIOL")</f>
        <v>OK</v>
      </c>
      <c r="M14" s="38">
        <f>Daily_Plan!I14</f>
        <v>32</v>
      </c>
      <c r="N14" s="9" t="str">
        <f>IF(AND(M14&gt;=Unit_Data!$D$15-0.001,M14&lt;=Unit_Data!$D$14+0.001),"OK","VIOL")</f>
        <v>OK</v>
      </c>
      <c r="O14" s="9" t="str">
        <f>IF(M14&lt;=Daily_Plan!O14+0.001,"OK","VIOL")</f>
        <v>OK</v>
      </c>
      <c r="P14" s="38">
        <f>Daily_Plan!W14</f>
        <v>44.16</v>
      </c>
      <c r="Q14" s="9" t="str">
        <f>IF(AND(P14&gt;=Unit_Data!$D$23-0.001,P14&lt;=Unit_Data!$D$22+0.001),"OK","VIOL")</f>
        <v>OK</v>
      </c>
      <c r="R14" s="43">
        <f>Daily_Plan!AD14</f>
        <v>95.157175398633242</v>
      </c>
      <c r="S14" s="9" t="str">
        <f>IF(R14&gt;=Unit_Data!$D$28-0.001,"OK","VIOL")</f>
        <v>OK</v>
      </c>
      <c r="T14" s="43">
        <f>Daily_Plan!P14</f>
        <v>1.461089494163424</v>
      </c>
      <c r="U14" s="9" t="str">
        <f>IF(T14&lt;=Unit_Data!$D$29+0.0001,"OK","VIOL")</f>
        <v>OK</v>
      </c>
      <c r="V14" s="42">
        <f>COUNTIFS(Tank_Balance!$D$5:$D$314,A14,Tank_Balance!$L$5:$L$314,"&lt;&gt;OK")</f>
        <v>0</v>
      </c>
      <c r="W14" s="9" t="str">
        <f t="shared" si="1"/>
        <v>OK</v>
      </c>
      <c r="X14" s="21" t="str">
        <f t="shared" si="2"/>
        <v>FEASIBLE</v>
      </c>
    </row>
    <row r="15" spans="1:24" x14ac:dyDescent="0.25">
      <c r="A15" s="9">
        <v>11</v>
      </c>
      <c r="B15" s="37">
        <f>Daily_Plan!B15</f>
        <v>46306</v>
      </c>
      <c r="C15" s="10" t="str">
        <f>Daily_Plan!C15</f>
        <v>Actual</v>
      </c>
      <c r="D15" s="38">
        <f>Daily_Plan!J15</f>
        <v>150</v>
      </c>
      <c r="E15" s="9" t="str">
        <f>IF(AND(D15&gt;=Unit_Data!$D$5-0.001,D15&lt;=Unit_Data!$D$4+0.001),"OK","VIOL")</f>
        <v>OK</v>
      </c>
      <c r="F15" s="42">
        <f>SUMPRODUCT(--(Daily_Plan!D15:G15&gt;Crude_Data!$C$13:$F$13+0.001))+SUMPRODUCT(--(Daily_Plan!D15:G15&lt;Crude_Data!$C$14:$F$14-0.001))</f>
        <v>0</v>
      </c>
      <c r="G15" s="9" t="str">
        <f t="shared" si="0"/>
        <v>OK</v>
      </c>
      <c r="H15" s="23">
        <f t="shared" si="3"/>
        <v>0</v>
      </c>
      <c r="I15" s="9" t="str">
        <f>IF(ABS(H15)&lt;=Unit_Data!$D$6+0.001,"OK","VIOL")</f>
        <v>OK</v>
      </c>
      <c r="J15" s="38">
        <f>Daily_Plan!H15</f>
        <v>22</v>
      </c>
      <c r="K15" s="9" t="str">
        <f>IF(AND(J15&gt;=Unit_Data!$D$9-0.001,J15&lt;=Unit_Data!$D$8+0.001),"OK","VIOL")</f>
        <v>OK</v>
      </c>
      <c r="L15" s="9" t="str">
        <f>IF(J15&lt;=Daily_Plan!L15+0.001,"OK","VIOL")</f>
        <v>OK</v>
      </c>
      <c r="M15" s="38">
        <f>Daily_Plan!I15</f>
        <v>32</v>
      </c>
      <c r="N15" s="9" t="str">
        <f>IF(AND(M15&gt;=Unit_Data!$D$15-0.001,M15&lt;=Unit_Data!$D$14+0.001),"OK","VIOL")</f>
        <v>OK</v>
      </c>
      <c r="O15" s="9" t="str">
        <f>IF(M15&lt;=Daily_Plan!O15+0.001,"OK","VIOL")</f>
        <v>OK</v>
      </c>
      <c r="P15" s="38">
        <f>Daily_Plan!W15</f>
        <v>44.16</v>
      </c>
      <c r="Q15" s="9" t="str">
        <f>IF(AND(P15&gt;=Unit_Data!$D$23-0.001,P15&lt;=Unit_Data!$D$22+0.001),"OK","VIOL")</f>
        <v>OK</v>
      </c>
      <c r="R15" s="43">
        <f>Daily_Plan!AD15</f>
        <v>95.157175398633242</v>
      </c>
      <c r="S15" s="9" t="str">
        <f>IF(R15&gt;=Unit_Data!$D$28-0.001,"OK","VIOL")</f>
        <v>OK</v>
      </c>
      <c r="T15" s="43">
        <f>Daily_Plan!P15</f>
        <v>1.461089494163424</v>
      </c>
      <c r="U15" s="9" t="str">
        <f>IF(T15&lt;=Unit_Data!$D$29+0.0001,"OK","VIOL")</f>
        <v>OK</v>
      </c>
      <c r="V15" s="42">
        <f>COUNTIFS(Tank_Balance!$D$5:$D$314,A15,Tank_Balance!$L$5:$L$314,"&lt;&gt;OK")</f>
        <v>0</v>
      </c>
      <c r="W15" s="9" t="str">
        <f t="shared" si="1"/>
        <v>OK</v>
      </c>
      <c r="X15" s="21" t="str">
        <f t="shared" si="2"/>
        <v>FEASIBLE</v>
      </c>
    </row>
    <row r="16" spans="1:24" x14ac:dyDescent="0.25">
      <c r="A16" s="9">
        <v>12</v>
      </c>
      <c r="B16" s="37">
        <f>Daily_Plan!B16</f>
        <v>46307</v>
      </c>
      <c r="C16" s="10" t="str">
        <f>Daily_Plan!C16</f>
        <v>Plan</v>
      </c>
      <c r="D16" s="38">
        <f>Daily_Plan!J16</f>
        <v>150</v>
      </c>
      <c r="E16" s="9" t="str">
        <f>IF(AND(D16&gt;=Unit_Data!$D$5-0.001,D16&lt;=Unit_Data!$D$4+0.001),"OK","VIOL")</f>
        <v>OK</v>
      </c>
      <c r="F16" s="42">
        <f>SUMPRODUCT(--(Daily_Plan!D16:G16&gt;Crude_Data!$C$13:$F$13+0.001))+SUMPRODUCT(--(Daily_Plan!D16:G16&lt;Crude_Data!$C$14:$F$14-0.001))</f>
        <v>0</v>
      </c>
      <c r="G16" s="9" t="str">
        <f t="shared" si="0"/>
        <v>OK</v>
      </c>
      <c r="H16" s="23">
        <f t="shared" si="3"/>
        <v>0</v>
      </c>
      <c r="I16" s="9" t="str">
        <f>IF(ABS(H16)&lt;=Unit_Data!$D$6+0.001,"OK","VIOL")</f>
        <v>OK</v>
      </c>
      <c r="J16" s="38">
        <f>Daily_Plan!H16</f>
        <v>22</v>
      </c>
      <c r="K16" s="9" t="str">
        <f>IF(AND(J16&gt;=Unit_Data!$D$9-0.001,J16&lt;=Unit_Data!$D$8+0.001),"OK","VIOL")</f>
        <v>OK</v>
      </c>
      <c r="L16" s="9" t="str">
        <f>IF(J16&lt;=Daily_Plan!L16+0.001,"OK","VIOL")</f>
        <v>OK</v>
      </c>
      <c r="M16" s="38">
        <f>Daily_Plan!I16</f>
        <v>32</v>
      </c>
      <c r="N16" s="9" t="str">
        <f>IF(AND(M16&gt;=Unit_Data!$D$15-0.001,M16&lt;=Unit_Data!$D$14+0.001),"OK","VIOL")</f>
        <v>OK</v>
      </c>
      <c r="O16" s="9" t="str">
        <f>IF(M16&lt;=Daily_Plan!O16+0.001,"OK","VIOL")</f>
        <v>OK</v>
      </c>
      <c r="P16" s="38">
        <f>Daily_Plan!W16</f>
        <v>44.16</v>
      </c>
      <c r="Q16" s="9" t="str">
        <f>IF(AND(P16&gt;=Unit_Data!$D$23-0.001,P16&lt;=Unit_Data!$D$22+0.001),"OK","VIOL")</f>
        <v>OK</v>
      </c>
      <c r="R16" s="43">
        <f>Daily_Plan!AD16</f>
        <v>95.157175398633242</v>
      </c>
      <c r="S16" s="9" t="str">
        <f>IF(R16&gt;=Unit_Data!$D$28-0.001,"OK","VIOL")</f>
        <v>OK</v>
      </c>
      <c r="T16" s="43">
        <f>Daily_Plan!P16</f>
        <v>1.461089494163424</v>
      </c>
      <c r="U16" s="9" t="str">
        <f>IF(T16&lt;=Unit_Data!$D$29+0.0001,"OK","VIOL")</f>
        <v>OK</v>
      </c>
      <c r="V16" s="42">
        <f>COUNTIFS(Tank_Balance!$D$5:$D$314,A16,Tank_Balance!$L$5:$L$314,"&lt;&gt;OK")</f>
        <v>0</v>
      </c>
      <c r="W16" s="9" t="str">
        <f t="shared" si="1"/>
        <v>OK</v>
      </c>
      <c r="X16" s="21" t="str">
        <f t="shared" si="2"/>
        <v>FEASIBLE</v>
      </c>
    </row>
    <row r="17" spans="1:24" x14ac:dyDescent="0.25">
      <c r="A17" s="9">
        <v>13</v>
      </c>
      <c r="B17" s="37">
        <f>Daily_Plan!B17</f>
        <v>46308</v>
      </c>
      <c r="C17" s="10" t="str">
        <f>Daily_Plan!C17</f>
        <v>Plan</v>
      </c>
      <c r="D17" s="38">
        <f>Daily_Plan!J17</f>
        <v>150</v>
      </c>
      <c r="E17" s="9" t="str">
        <f>IF(AND(D17&gt;=Unit_Data!$D$5-0.001,D17&lt;=Unit_Data!$D$4+0.001),"OK","VIOL")</f>
        <v>OK</v>
      </c>
      <c r="F17" s="42">
        <f>SUMPRODUCT(--(Daily_Plan!D17:G17&gt;Crude_Data!$C$13:$F$13+0.001))+SUMPRODUCT(--(Daily_Plan!D17:G17&lt;Crude_Data!$C$14:$F$14-0.001))</f>
        <v>0</v>
      </c>
      <c r="G17" s="9" t="str">
        <f t="shared" si="0"/>
        <v>OK</v>
      </c>
      <c r="H17" s="23">
        <f t="shared" si="3"/>
        <v>0</v>
      </c>
      <c r="I17" s="9" t="str">
        <f>IF(ABS(H17)&lt;=Unit_Data!$D$6+0.001,"OK","VIOL")</f>
        <v>OK</v>
      </c>
      <c r="J17" s="38">
        <f>Daily_Plan!H17</f>
        <v>22</v>
      </c>
      <c r="K17" s="9" t="str">
        <f>IF(AND(J17&gt;=Unit_Data!$D$9-0.001,J17&lt;=Unit_Data!$D$8+0.001),"OK","VIOL")</f>
        <v>OK</v>
      </c>
      <c r="L17" s="9" t="str">
        <f>IF(J17&lt;=Daily_Plan!L17+0.001,"OK","VIOL")</f>
        <v>OK</v>
      </c>
      <c r="M17" s="38">
        <f>Daily_Plan!I17</f>
        <v>32</v>
      </c>
      <c r="N17" s="9" t="str">
        <f>IF(AND(M17&gt;=Unit_Data!$D$15-0.001,M17&lt;=Unit_Data!$D$14+0.001),"OK","VIOL")</f>
        <v>OK</v>
      </c>
      <c r="O17" s="9" t="str">
        <f>IF(M17&lt;=Daily_Plan!O17+0.001,"OK","VIOL")</f>
        <v>OK</v>
      </c>
      <c r="P17" s="38">
        <f>Daily_Plan!W17</f>
        <v>44.16</v>
      </c>
      <c r="Q17" s="9" t="str">
        <f>IF(AND(P17&gt;=Unit_Data!$D$23-0.001,P17&lt;=Unit_Data!$D$22+0.001),"OK","VIOL")</f>
        <v>OK</v>
      </c>
      <c r="R17" s="43">
        <f>Daily_Plan!AD17</f>
        <v>95.157175398633242</v>
      </c>
      <c r="S17" s="9" t="str">
        <f>IF(R17&gt;=Unit_Data!$D$28-0.001,"OK","VIOL")</f>
        <v>OK</v>
      </c>
      <c r="T17" s="43">
        <f>Daily_Plan!P17</f>
        <v>1.461089494163424</v>
      </c>
      <c r="U17" s="9" t="str">
        <f>IF(T17&lt;=Unit_Data!$D$29+0.0001,"OK","VIOL")</f>
        <v>OK</v>
      </c>
      <c r="V17" s="42">
        <f>COUNTIFS(Tank_Balance!$D$5:$D$314,A17,Tank_Balance!$L$5:$L$314,"&lt;&gt;OK")</f>
        <v>0</v>
      </c>
      <c r="W17" s="9" t="str">
        <f t="shared" si="1"/>
        <v>OK</v>
      </c>
      <c r="X17" s="21" t="str">
        <f t="shared" si="2"/>
        <v>FEASIBLE</v>
      </c>
    </row>
    <row r="18" spans="1:24" x14ac:dyDescent="0.25">
      <c r="A18" s="9">
        <v>14</v>
      </c>
      <c r="B18" s="37">
        <f>Daily_Plan!B18</f>
        <v>46309</v>
      </c>
      <c r="C18" s="10" t="str">
        <f>Daily_Plan!C18</f>
        <v>Plan</v>
      </c>
      <c r="D18" s="38">
        <f>Daily_Plan!J18</f>
        <v>150</v>
      </c>
      <c r="E18" s="9" t="str">
        <f>IF(AND(D18&gt;=Unit_Data!$D$5-0.001,D18&lt;=Unit_Data!$D$4+0.001),"OK","VIOL")</f>
        <v>OK</v>
      </c>
      <c r="F18" s="42">
        <f>SUMPRODUCT(--(Daily_Plan!D18:G18&gt;Crude_Data!$C$13:$F$13+0.001))+SUMPRODUCT(--(Daily_Plan!D18:G18&lt;Crude_Data!$C$14:$F$14-0.001))</f>
        <v>0</v>
      </c>
      <c r="G18" s="9" t="str">
        <f t="shared" si="0"/>
        <v>OK</v>
      </c>
      <c r="H18" s="23">
        <f t="shared" si="3"/>
        <v>0</v>
      </c>
      <c r="I18" s="9" t="str">
        <f>IF(ABS(H18)&lt;=Unit_Data!$D$6+0.001,"OK","VIOL")</f>
        <v>OK</v>
      </c>
      <c r="J18" s="38">
        <f>Daily_Plan!H18</f>
        <v>22</v>
      </c>
      <c r="K18" s="9" t="str">
        <f>IF(AND(J18&gt;=Unit_Data!$D$9-0.001,J18&lt;=Unit_Data!$D$8+0.001),"OK","VIOL")</f>
        <v>OK</v>
      </c>
      <c r="L18" s="9" t="str">
        <f>IF(J18&lt;=Daily_Plan!L18+0.001,"OK","VIOL")</f>
        <v>OK</v>
      </c>
      <c r="M18" s="38">
        <f>Daily_Plan!I18</f>
        <v>32</v>
      </c>
      <c r="N18" s="9" t="str">
        <f>IF(AND(M18&gt;=Unit_Data!$D$15-0.001,M18&lt;=Unit_Data!$D$14+0.001),"OK","VIOL")</f>
        <v>OK</v>
      </c>
      <c r="O18" s="9" t="str">
        <f>IF(M18&lt;=Daily_Plan!O18+0.001,"OK","VIOL")</f>
        <v>OK</v>
      </c>
      <c r="P18" s="38">
        <f>Daily_Plan!W18</f>
        <v>44.16</v>
      </c>
      <c r="Q18" s="9" t="str">
        <f>IF(AND(P18&gt;=Unit_Data!$D$23-0.001,P18&lt;=Unit_Data!$D$22+0.001),"OK","VIOL")</f>
        <v>OK</v>
      </c>
      <c r="R18" s="43">
        <f>Daily_Plan!AD18</f>
        <v>95.157175398633242</v>
      </c>
      <c r="S18" s="9" t="str">
        <f>IF(R18&gt;=Unit_Data!$D$28-0.001,"OK","VIOL")</f>
        <v>OK</v>
      </c>
      <c r="T18" s="43">
        <f>Daily_Plan!P18</f>
        <v>1.461089494163424</v>
      </c>
      <c r="U18" s="9" t="str">
        <f>IF(T18&lt;=Unit_Data!$D$29+0.0001,"OK","VIOL")</f>
        <v>OK</v>
      </c>
      <c r="V18" s="42">
        <f>COUNTIFS(Tank_Balance!$D$5:$D$314,A18,Tank_Balance!$L$5:$L$314,"&lt;&gt;OK")</f>
        <v>0</v>
      </c>
      <c r="W18" s="9" t="str">
        <f t="shared" si="1"/>
        <v>OK</v>
      </c>
      <c r="X18" s="21" t="str">
        <f t="shared" si="2"/>
        <v>FEASIBLE</v>
      </c>
    </row>
    <row r="19" spans="1:24" x14ac:dyDescent="0.25">
      <c r="A19" s="9">
        <v>15</v>
      </c>
      <c r="B19" s="37">
        <f>Daily_Plan!B19</f>
        <v>46310</v>
      </c>
      <c r="C19" s="10" t="str">
        <f>Daily_Plan!C19</f>
        <v>Plan</v>
      </c>
      <c r="D19" s="38">
        <f>Daily_Plan!J19</f>
        <v>150</v>
      </c>
      <c r="E19" s="9" t="str">
        <f>IF(AND(D19&gt;=Unit_Data!$D$5-0.001,D19&lt;=Unit_Data!$D$4+0.001),"OK","VIOL")</f>
        <v>OK</v>
      </c>
      <c r="F19" s="42">
        <f>SUMPRODUCT(--(Daily_Plan!D19:G19&gt;Crude_Data!$C$13:$F$13+0.001))+SUMPRODUCT(--(Daily_Plan!D19:G19&lt;Crude_Data!$C$14:$F$14-0.001))</f>
        <v>0</v>
      </c>
      <c r="G19" s="9" t="str">
        <f t="shared" si="0"/>
        <v>OK</v>
      </c>
      <c r="H19" s="23">
        <f t="shared" si="3"/>
        <v>0</v>
      </c>
      <c r="I19" s="9" t="str">
        <f>IF(ABS(H19)&lt;=Unit_Data!$D$6+0.001,"OK","VIOL")</f>
        <v>OK</v>
      </c>
      <c r="J19" s="38">
        <f>Daily_Plan!H19</f>
        <v>22</v>
      </c>
      <c r="K19" s="9" t="str">
        <f>IF(AND(J19&gt;=Unit_Data!$D$9-0.001,J19&lt;=Unit_Data!$D$8+0.001),"OK","VIOL")</f>
        <v>OK</v>
      </c>
      <c r="L19" s="9" t="str">
        <f>IF(J19&lt;=Daily_Plan!L19+0.001,"OK","VIOL")</f>
        <v>OK</v>
      </c>
      <c r="M19" s="38">
        <f>Daily_Plan!I19</f>
        <v>32</v>
      </c>
      <c r="N19" s="9" t="str">
        <f>IF(AND(M19&gt;=Unit_Data!$D$15-0.001,M19&lt;=Unit_Data!$D$14+0.001),"OK","VIOL")</f>
        <v>OK</v>
      </c>
      <c r="O19" s="9" t="str">
        <f>IF(M19&lt;=Daily_Plan!O19+0.001,"OK","VIOL")</f>
        <v>OK</v>
      </c>
      <c r="P19" s="38">
        <f>Daily_Plan!W19</f>
        <v>44.16</v>
      </c>
      <c r="Q19" s="9" t="str">
        <f>IF(AND(P19&gt;=Unit_Data!$D$23-0.001,P19&lt;=Unit_Data!$D$22+0.001),"OK","VIOL")</f>
        <v>OK</v>
      </c>
      <c r="R19" s="43">
        <f>Daily_Plan!AD19</f>
        <v>95.157175398633242</v>
      </c>
      <c r="S19" s="9" t="str">
        <f>IF(R19&gt;=Unit_Data!$D$28-0.001,"OK","VIOL")</f>
        <v>OK</v>
      </c>
      <c r="T19" s="43">
        <f>Daily_Plan!P19</f>
        <v>1.461089494163424</v>
      </c>
      <c r="U19" s="9" t="str">
        <f>IF(T19&lt;=Unit_Data!$D$29+0.0001,"OK","VIOL")</f>
        <v>OK</v>
      </c>
      <c r="V19" s="42">
        <f>COUNTIFS(Tank_Balance!$D$5:$D$314,A19,Tank_Balance!$L$5:$L$314,"&lt;&gt;OK")</f>
        <v>0</v>
      </c>
      <c r="W19" s="9" t="str">
        <f t="shared" si="1"/>
        <v>OK</v>
      </c>
      <c r="X19" s="21" t="str">
        <f t="shared" si="2"/>
        <v>FEASIBLE</v>
      </c>
    </row>
    <row r="20" spans="1:24" x14ac:dyDescent="0.25">
      <c r="A20" s="9">
        <v>16</v>
      </c>
      <c r="B20" s="37">
        <f>Daily_Plan!B20</f>
        <v>46311</v>
      </c>
      <c r="C20" s="10" t="str">
        <f>Daily_Plan!C20</f>
        <v>Plan</v>
      </c>
      <c r="D20" s="38">
        <f>Daily_Plan!J20</f>
        <v>150</v>
      </c>
      <c r="E20" s="9" t="str">
        <f>IF(AND(D20&gt;=Unit_Data!$D$5-0.001,D20&lt;=Unit_Data!$D$4+0.001),"OK","VIOL")</f>
        <v>OK</v>
      </c>
      <c r="F20" s="42">
        <f>SUMPRODUCT(--(Daily_Plan!D20:G20&gt;Crude_Data!$C$13:$F$13+0.001))+SUMPRODUCT(--(Daily_Plan!D20:G20&lt;Crude_Data!$C$14:$F$14-0.001))</f>
        <v>0</v>
      </c>
      <c r="G20" s="9" t="str">
        <f t="shared" si="0"/>
        <v>OK</v>
      </c>
      <c r="H20" s="23">
        <f t="shared" si="3"/>
        <v>0</v>
      </c>
      <c r="I20" s="9" t="str">
        <f>IF(ABS(H20)&lt;=Unit_Data!$D$6+0.001,"OK","VIOL")</f>
        <v>OK</v>
      </c>
      <c r="J20" s="38">
        <f>Daily_Plan!H20</f>
        <v>22</v>
      </c>
      <c r="K20" s="9" t="str">
        <f>IF(AND(J20&gt;=Unit_Data!$D$9-0.001,J20&lt;=Unit_Data!$D$8+0.001),"OK","VIOL")</f>
        <v>OK</v>
      </c>
      <c r="L20" s="9" t="str">
        <f>IF(J20&lt;=Daily_Plan!L20+0.001,"OK","VIOL")</f>
        <v>OK</v>
      </c>
      <c r="M20" s="38">
        <f>Daily_Plan!I20</f>
        <v>32</v>
      </c>
      <c r="N20" s="9" t="str">
        <f>IF(AND(M20&gt;=Unit_Data!$D$15-0.001,M20&lt;=Unit_Data!$D$14+0.001),"OK","VIOL")</f>
        <v>OK</v>
      </c>
      <c r="O20" s="9" t="str">
        <f>IF(M20&lt;=Daily_Plan!O20+0.001,"OK","VIOL")</f>
        <v>OK</v>
      </c>
      <c r="P20" s="38">
        <f>Daily_Plan!W20</f>
        <v>44.16</v>
      </c>
      <c r="Q20" s="9" t="str">
        <f>IF(AND(P20&gt;=Unit_Data!$D$23-0.001,P20&lt;=Unit_Data!$D$22+0.001),"OK","VIOL")</f>
        <v>OK</v>
      </c>
      <c r="R20" s="43">
        <f>Daily_Plan!AD20</f>
        <v>95.157175398633242</v>
      </c>
      <c r="S20" s="9" t="str">
        <f>IF(R20&gt;=Unit_Data!$D$28-0.001,"OK","VIOL")</f>
        <v>OK</v>
      </c>
      <c r="T20" s="43">
        <f>Daily_Plan!P20</f>
        <v>1.461089494163424</v>
      </c>
      <c r="U20" s="9" t="str">
        <f>IF(T20&lt;=Unit_Data!$D$29+0.0001,"OK","VIOL")</f>
        <v>OK</v>
      </c>
      <c r="V20" s="42">
        <f>COUNTIFS(Tank_Balance!$D$5:$D$314,A20,Tank_Balance!$L$5:$L$314,"&lt;&gt;OK")</f>
        <v>0</v>
      </c>
      <c r="W20" s="9" t="str">
        <f t="shared" si="1"/>
        <v>OK</v>
      </c>
      <c r="X20" s="21" t="str">
        <f t="shared" si="2"/>
        <v>FEASIBLE</v>
      </c>
    </row>
    <row r="21" spans="1:24" x14ac:dyDescent="0.25">
      <c r="A21" s="9">
        <v>17</v>
      </c>
      <c r="B21" s="37">
        <f>Daily_Plan!B21</f>
        <v>46312</v>
      </c>
      <c r="C21" s="10" t="str">
        <f>Daily_Plan!C21</f>
        <v>Plan</v>
      </c>
      <c r="D21" s="38">
        <f>Daily_Plan!J21</f>
        <v>150</v>
      </c>
      <c r="E21" s="9" t="str">
        <f>IF(AND(D21&gt;=Unit_Data!$D$5-0.001,D21&lt;=Unit_Data!$D$4+0.001),"OK","VIOL")</f>
        <v>OK</v>
      </c>
      <c r="F21" s="42">
        <f>SUMPRODUCT(--(Daily_Plan!D21:G21&gt;Crude_Data!$C$13:$F$13+0.001))+SUMPRODUCT(--(Daily_Plan!D21:G21&lt;Crude_Data!$C$14:$F$14-0.001))</f>
        <v>0</v>
      </c>
      <c r="G21" s="9" t="str">
        <f t="shared" si="0"/>
        <v>OK</v>
      </c>
      <c r="H21" s="23">
        <f t="shared" si="3"/>
        <v>0</v>
      </c>
      <c r="I21" s="9" t="str">
        <f>IF(ABS(H21)&lt;=Unit_Data!$D$6+0.001,"OK","VIOL")</f>
        <v>OK</v>
      </c>
      <c r="J21" s="38">
        <f>Daily_Plan!H21</f>
        <v>22</v>
      </c>
      <c r="K21" s="9" t="str">
        <f>IF(AND(J21&gt;=Unit_Data!$D$9-0.001,J21&lt;=Unit_Data!$D$8+0.001),"OK","VIOL")</f>
        <v>OK</v>
      </c>
      <c r="L21" s="9" t="str">
        <f>IF(J21&lt;=Daily_Plan!L21+0.001,"OK","VIOL")</f>
        <v>OK</v>
      </c>
      <c r="M21" s="38">
        <f>Daily_Plan!I21</f>
        <v>32</v>
      </c>
      <c r="N21" s="9" t="str">
        <f>IF(AND(M21&gt;=Unit_Data!$D$15-0.001,M21&lt;=Unit_Data!$D$14+0.001),"OK","VIOL")</f>
        <v>OK</v>
      </c>
      <c r="O21" s="9" t="str">
        <f>IF(M21&lt;=Daily_Plan!O21+0.001,"OK","VIOL")</f>
        <v>OK</v>
      </c>
      <c r="P21" s="38">
        <f>Daily_Plan!W21</f>
        <v>44.16</v>
      </c>
      <c r="Q21" s="9" t="str">
        <f>IF(AND(P21&gt;=Unit_Data!$D$23-0.001,P21&lt;=Unit_Data!$D$22+0.001),"OK","VIOL")</f>
        <v>OK</v>
      </c>
      <c r="R21" s="43">
        <f>Daily_Plan!AD21</f>
        <v>95.157175398633242</v>
      </c>
      <c r="S21" s="9" t="str">
        <f>IF(R21&gt;=Unit_Data!$D$28-0.001,"OK","VIOL")</f>
        <v>OK</v>
      </c>
      <c r="T21" s="43">
        <f>Daily_Plan!P21</f>
        <v>1.461089494163424</v>
      </c>
      <c r="U21" s="9" t="str">
        <f>IF(T21&lt;=Unit_Data!$D$29+0.0001,"OK","VIOL")</f>
        <v>OK</v>
      </c>
      <c r="V21" s="42">
        <f>COUNTIFS(Tank_Balance!$D$5:$D$314,A21,Tank_Balance!$L$5:$L$314,"&lt;&gt;OK")</f>
        <v>0</v>
      </c>
      <c r="W21" s="9" t="str">
        <f t="shared" si="1"/>
        <v>OK</v>
      </c>
      <c r="X21" s="21" t="str">
        <f t="shared" si="2"/>
        <v>FEASIBLE</v>
      </c>
    </row>
    <row r="22" spans="1:24" x14ac:dyDescent="0.25">
      <c r="A22" s="9">
        <v>18</v>
      </c>
      <c r="B22" s="37">
        <f>Daily_Plan!B22</f>
        <v>46313</v>
      </c>
      <c r="C22" s="10" t="str">
        <f>Daily_Plan!C22</f>
        <v>Plan</v>
      </c>
      <c r="D22" s="38">
        <f>Daily_Plan!J22</f>
        <v>150</v>
      </c>
      <c r="E22" s="9" t="str">
        <f>IF(AND(D22&gt;=Unit_Data!$D$5-0.001,D22&lt;=Unit_Data!$D$4+0.001),"OK","VIOL")</f>
        <v>OK</v>
      </c>
      <c r="F22" s="42">
        <f>SUMPRODUCT(--(Daily_Plan!D22:G22&gt;Crude_Data!$C$13:$F$13+0.001))+SUMPRODUCT(--(Daily_Plan!D22:G22&lt;Crude_Data!$C$14:$F$14-0.001))</f>
        <v>0</v>
      </c>
      <c r="G22" s="9" t="str">
        <f t="shared" si="0"/>
        <v>OK</v>
      </c>
      <c r="H22" s="23">
        <f t="shared" si="3"/>
        <v>0</v>
      </c>
      <c r="I22" s="9" t="str">
        <f>IF(ABS(H22)&lt;=Unit_Data!$D$6+0.001,"OK","VIOL")</f>
        <v>OK</v>
      </c>
      <c r="J22" s="38">
        <f>Daily_Plan!H22</f>
        <v>22</v>
      </c>
      <c r="K22" s="9" t="str">
        <f>IF(AND(J22&gt;=Unit_Data!$D$9-0.001,J22&lt;=Unit_Data!$D$8+0.001),"OK","VIOL")</f>
        <v>OK</v>
      </c>
      <c r="L22" s="9" t="str">
        <f>IF(J22&lt;=Daily_Plan!L22+0.001,"OK","VIOL")</f>
        <v>OK</v>
      </c>
      <c r="M22" s="38">
        <f>Daily_Plan!I22</f>
        <v>32</v>
      </c>
      <c r="N22" s="9" t="str">
        <f>IF(AND(M22&gt;=Unit_Data!$D$15-0.001,M22&lt;=Unit_Data!$D$14+0.001),"OK","VIOL")</f>
        <v>OK</v>
      </c>
      <c r="O22" s="9" t="str">
        <f>IF(M22&lt;=Daily_Plan!O22+0.001,"OK","VIOL")</f>
        <v>OK</v>
      </c>
      <c r="P22" s="38">
        <f>Daily_Plan!W22</f>
        <v>44.16</v>
      </c>
      <c r="Q22" s="9" t="str">
        <f>IF(AND(P22&gt;=Unit_Data!$D$23-0.001,P22&lt;=Unit_Data!$D$22+0.001),"OK","VIOL")</f>
        <v>OK</v>
      </c>
      <c r="R22" s="43">
        <f>Daily_Plan!AD22</f>
        <v>95.157175398633242</v>
      </c>
      <c r="S22" s="9" t="str">
        <f>IF(R22&gt;=Unit_Data!$D$28-0.001,"OK","VIOL")</f>
        <v>OK</v>
      </c>
      <c r="T22" s="43">
        <f>Daily_Plan!P22</f>
        <v>1.461089494163424</v>
      </c>
      <c r="U22" s="9" t="str">
        <f>IF(T22&lt;=Unit_Data!$D$29+0.0001,"OK","VIOL")</f>
        <v>OK</v>
      </c>
      <c r="V22" s="42">
        <f>COUNTIFS(Tank_Balance!$D$5:$D$314,A22,Tank_Balance!$L$5:$L$314,"&lt;&gt;OK")</f>
        <v>0</v>
      </c>
      <c r="W22" s="9" t="str">
        <f t="shared" si="1"/>
        <v>OK</v>
      </c>
      <c r="X22" s="21" t="str">
        <f t="shared" si="2"/>
        <v>FEASIBLE</v>
      </c>
    </row>
    <row r="23" spans="1:24" x14ac:dyDescent="0.25">
      <c r="A23" s="9">
        <v>19</v>
      </c>
      <c r="B23" s="37">
        <f>Daily_Plan!B23</f>
        <v>46314</v>
      </c>
      <c r="C23" s="10" t="str">
        <f>Daily_Plan!C23</f>
        <v>Plan</v>
      </c>
      <c r="D23" s="38">
        <f>Daily_Plan!J23</f>
        <v>150</v>
      </c>
      <c r="E23" s="9" t="str">
        <f>IF(AND(D23&gt;=Unit_Data!$D$5-0.001,D23&lt;=Unit_Data!$D$4+0.001),"OK","VIOL")</f>
        <v>OK</v>
      </c>
      <c r="F23" s="42">
        <f>SUMPRODUCT(--(Daily_Plan!D23:G23&gt;Crude_Data!$C$13:$F$13+0.001))+SUMPRODUCT(--(Daily_Plan!D23:G23&lt;Crude_Data!$C$14:$F$14-0.001))</f>
        <v>0</v>
      </c>
      <c r="G23" s="9" t="str">
        <f t="shared" si="0"/>
        <v>OK</v>
      </c>
      <c r="H23" s="23">
        <f t="shared" si="3"/>
        <v>0</v>
      </c>
      <c r="I23" s="9" t="str">
        <f>IF(ABS(H23)&lt;=Unit_Data!$D$6+0.001,"OK","VIOL")</f>
        <v>OK</v>
      </c>
      <c r="J23" s="38">
        <f>Daily_Plan!H23</f>
        <v>22</v>
      </c>
      <c r="K23" s="9" t="str">
        <f>IF(AND(J23&gt;=Unit_Data!$D$9-0.001,J23&lt;=Unit_Data!$D$8+0.001),"OK","VIOL")</f>
        <v>OK</v>
      </c>
      <c r="L23" s="9" t="str">
        <f>IF(J23&lt;=Daily_Plan!L23+0.001,"OK","VIOL")</f>
        <v>OK</v>
      </c>
      <c r="M23" s="38">
        <f>Daily_Plan!I23</f>
        <v>32</v>
      </c>
      <c r="N23" s="9" t="str">
        <f>IF(AND(M23&gt;=Unit_Data!$D$15-0.001,M23&lt;=Unit_Data!$D$14+0.001),"OK","VIOL")</f>
        <v>OK</v>
      </c>
      <c r="O23" s="9" t="str">
        <f>IF(M23&lt;=Daily_Plan!O23+0.001,"OK","VIOL")</f>
        <v>OK</v>
      </c>
      <c r="P23" s="38">
        <f>Daily_Plan!W23</f>
        <v>44.16</v>
      </c>
      <c r="Q23" s="9" t="str">
        <f>IF(AND(P23&gt;=Unit_Data!$D$23-0.001,P23&lt;=Unit_Data!$D$22+0.001),"OK","VIOL")</f>
        <v>OK</v>
      </c>
      <c r="R23" s="43">
        <f>Daily_Plan!AD23</f>
        <v>95.157175398633242</v>
      </c>
      <c r="S23" s="9" t="str">
        <f>IF(R23&gt;=Unit_Data!$D$28-0.001,"OK","VIOL")</f>
        <v>OK</v>
      </c>
      <c r="T23" s="43">
        <f>Daily_Plan!P23</f>
        <v>1.461089494163424</v>
      </c>
      <c r="U23" s="9" t="str">
        <f>IF(T23&lt;=Unit_Data!$D$29+0.0001,"OK","VIOL")</f>
        <v>OK</v>
      </c>
      <c r="V23" s="42">
        <f>COUNTIFS(Tank_Balance!$D$5:$D$314,A23,Tank_Balance!$L$5:$L$314,"&lt;&gt;OK")</f>
        <v>0</v>
      </c>
      <c r="W23" s="9" t="str">
        <f t="shared" si="1"/>
        <v>OK</v>
      </c>
      <c r="X23" s="21" t="str">
        <f t="shared" si="2"/>
        <v>FEASIBLE</v>
      </c>
    </row>
    <row r="24" spans="1:24" x14ac:dyDescent="0.25">
      <c r="A24" s="9">
        <v>20</v>
      </c>
      <c r="B24" s="37">
        <f>Daily_Plan!B24</f>
        <v>46315</v>
      </c>
      <c r="C24" s="10" t="str">
        <f>Daily_Plan!C24</f>
        <v>Plan</v>
      </c>
      <c r="D24" s="38">
        <f>Daily_Plan!J24</f>
        <v>150</v>
      </c>
      <c r="E24" s="9" t="str">
        <f>IF(AND(D24&gt;=Unit_Data!$D$5-0.001,D24&lt;=Unit_Data!$D$4+0.001),"OK","VIOL")</f>
        <v>OK</v>
      </c>
      <c r="F24" s="42">
        <f>SUMPRODUCT(--(Daily_Plan!D24:G24&gt;Crude_Data!$C$13:$F$13+0.001))+SUMPRODUCT(--(Daily_Plan!D24:G24&lt;Crude_Data!$C$14:$F$14-0.001))</f>
        <v>0</v>
      </c>
      <c r="G24" s="9" t="str">
        <f t="shared" si="0"/>
        <v>OK</v>
      </c>
      <c r="H24" s="23">
        <f t="shared" si="3"/>
        <v>0</v>
      </c>
      <c r="I24" s="9" t="str">
        <f>IF(ABS(H24)&lt;=Unit_Data!$D$6+0.001,"OK","VIOL")</f>
        <v>OK</v>
      </c>
      <c r="J24" s="38">
        <f>Daily_Plan!H24</f>
        <v>22</v>
      </c>
      <c r="K24" s="9" t="str">
        <f>IF(AND(J24&gt;=Unit_Data!$D$9-0.001,J24&lt;=Unit_Data!$D$8+0.001),"OK","VIOL")</f>
        <v>OK</v>
      </c>
      <c r="L24" s="9" t="str">
        <f>IF(J24&lt;=Daily_Plan!L24+0.001,"OK","VIOL")</f>
        <v>OK</v>
      </c>
      <c r="M24" s="38">
        <f>Daily_Plan!I24</f>
        <v>32</v>
      </c>
      <c r="N24" s="9" t="str">
        <f>IF(AND(M24&gt;=Unit_Data!$D$15-0.001,M24&lt;=Unit_Data!$D$14+0.001),"OK","VIOL")</f>
        <v>OK</v>
      </c>
      <c r="O24" s="9" t="str">
        <f>IF(M24&lt;=Daily_Plan!O24+0.001,"OK","VIOL")</f>
        <v>OK</v>
      </c>
      <c r="P24" s="38">
        <f>Daily_Plan!W24</f>
        <v>44.16</v>
      </c>
      <c r="Q24" s="9" t="str">
        <f>IF(AND(P24&gt;=Unit_Data!$D$23-0.001,P24&lt;=Unit_Data!$D$22+0.001),"OK","VIOL")</f>
        <v>OK</v>
      </c>
      <c r="R24" s="43">
        <f>Daily_Plan!AD24</f>
        <v>95.157175398633242</v>
      </c>
      <c r="S24" s="9" t="str">
        <f>IF(R24&gt;=Unit_Data!$D$28-0.001,"OK","VIOL")</f>
        <v>OK</v>
      </c>
      <c r="T24" s="43">
        <f>Daily_Plan!P24</f>
        <v>1.461089494163424</v>
      </c>
      <c r="U24" s="9" t="str">
        <f>IF(T24&lt;=Unit_Data!$D$29+0.0001,"OK","VIOL")</f>
        <v>OK</v>
      </c>
      <c r="V24" s="42">
        <f>COUNTIFS(Tank_Balance!$D$5:$D$314,A24,Tank_Balance!$L$5:$L$314,"&lt;&gt;OK")</f>
        <v>0</v>
      </c>
      <c r="W24" s="9" t="str">
        <f t="shared" si="1"/>
        <v>OK</v>
      </c>
      <c r="X24" s="21" t="str">
        <f t="shared" si="2"/>
        <v>FEASIBLE</v>
      </c>
    </row>
    <row r="25" spans="1:24" x14ac:dyDescent="0.25">
      <c r="A25" s="9">
        <v>21</v>
      </c>
      <c r="B25" s="37">
        <f>Daily_Plan!B25</f>
        <v>46316</v>
      </c>
      <c r="C25" s="10" t="str">
        <f>Daily_Plan!C25</f>
        <v>Plan</v>
      </c>
      <c r="D25" s="38">
        <f>Daily_Plan!J25</f>
        <v>150</v>
      </c>
      <c r="E25" s="9" t="str">
        <f>IF(AND(D25&gt;=Unit_Data!$D$5-0.001,D25&lt;=Unit_Data!$D$4+0.001),"OK","VIOL")</f>
        <v>OK</v>
      </c>
      <c r="F25" s="42">
        <f>SUMPRODUCT(--(Daily_Plan!D25:G25&gt;Crude_Data!$C$13:$F$13+0.001))+SUMPRODUCT(--(Daily_Plan!D25:G25&lt;Crude_Data!$C$14:$F$14-0.001))</f>
        <v>0</v>
      </c>
      <c r="G25" s="9" t="str">
        <f t="shared" si="0"/>
        <v>OK</v>
      </c>
      <c r="H25" s="23">
        <f t="shared" si="3"/>
        <v>0</v>
      </c>
      <c r="I25" s="9" t="str">
        <f>IF(ABS(H25)&lt;=Unit_Data!$D$6+0.001,"OK","VIOL")</f>
        <v>OK</v>
      </c>
      <c r="J25" s="38">
        <f>Daily_Plan!H25</f>
        <v>22</v>
      </c>
      <c r="K25" s="9" t="str">
        <f>IF(AND(J25&gt;=Unit_Data!$D$9-0.001,J25&lt;=Unit_Data!$D$8+0.001),"OK","VIOL")</f>
        <v>OK</v>
      </c>
      <c r="L25" s="9" t="str">
        <f>IF(J25&lt;=Daily_Plan!L25+0.001,"OK","VIOL")</f>
        <v>OK</v>
      </c>
      <c r="M25" s="38">
        <f>Daily_Plan!I25</f>
        <v>32</v>
      </c>
      <c r="N25" s="9" t="str">
        <f>IF(AND(M25&gt;=Unit_Data!$D$15-0.001,M25&lt;=Unit_Data!$D$14+0.001),"OK","VIOL")</f>
        <v>OK</v>
      </c>
      <c r="O25" s="9" t="str">
        <f>IF(M25&lt;=Daily_Plan!O25+0.001,"OK","VIOL")</f>
        <v>OK</v>
      </c>
      <c r="P25" s="38">
        <f>Daily_Plan!W25</f>
        <v>44.16</v>
      </c>
      <c r="Q25" s="9" t="str">
        <f>IF(AND(P25&gt;=Unit_Data!$D$23-0.001,P25&lt;=Unit_Data!$D$22+0.001),"OK","VIOL")</f>
        <v>OK</v>
      </c>
      <c r="R25" s="43">
        <f>Daily_Plan!AD25</f>
        <v>95.157175398633242</v>
      </c>
      <c r="S25" s="9" t="str">
        <f>IF(R25&gt;=Unit_Data!$D$28-0.001,"OK","VIOL")</f>
        <v>OK</v>
      </c>
      <c r="T25" s="43">
        <f>Daily_Plan!P25</f>
        <v>1.461089494163424</v>
      </c>
      <c r="U25" s="9" t="str">
        <f>IF(T25&lt;=Unit_Data!$D$29+0.0001,"OK","VIOL")</f>
        <v>OK</v>
      </c>
      <c r="V25" s="42">
        <f>COUNTIFS(Tank_Balance!$D$5:$D$314,A25,Tank_Balance!$L$5:$L$314,"&lt;&gt;OK")</f>
        <v>0</v>
      </c>
      <c r="W25" s="9" t="str">
        <f t="shared" si="1"/>
        <v>OK</v>
      </c>
      <c r="X25" s="21" t="str">
        <f t="shared" si="2"/>
        <v>FEASIBLE</v>
      </c>
    </row>
    <row r="26" spans="1:24" x14ac:dyDescent="0.25">
      <c r="A26" s="9">
        <v>22</v>
      </c>
      <c r="B26" s="37">
        <f>Daily_Plan!B26</f>
        <v>46317</v>
      </c>
      <c r="C26" s="10" t="str">
        <f>Daily_Plan!C26</f>
        <v>Plan</v>
      </c>
      <c r="D26" s="38">
        <f>Daily_Plan!J26</f>
        <v>150</v>
      </c>
      <c r="E26" s="9" t="str">
        <f>IF(AND(D26&gt;=Unit_Data!$D$5-0.001,D26&lt;=Unit_Data!$D$4+0.001),"OK","VIOL")</f>
        <v>OK</v>
      </c>
      <c r="F26" s="42">
        <f>SUMPRODUCT(--(Daily_Plan!D26:G26&gt;Crude_Data!$C$13:$F$13+0.001))+SUMPRODUCT(--(Daily_Plan!D26:G26&lt;Crude_Data!$C$14:$F$14-0.001))</f>
        <v>0</v>
      </c>
      <c r="G26" s="9" t="str">
        <f t="shared" si="0"/>
        <v>OK</v>
      </c>
      <c r="H26" s="23">
        <f t="shared" si="3"/>
        <v>0</v>
      </c>
      <c r="I26" s="9" t="str">
        <f>IF(ABS(H26)&lt;=Unit_Data!$D$6+0.001,"OK","VIOL")</f>
        <v>OK</v>
      </c>
      <c r="J26" s="38">
        <f>Daily_Plan!H26</f>
        <v>22</v>
      </c>
      <c r="K26" s="9" t="str">
        <f>IF(AND(J26&gt;=Unit_Data!$D$9-0.001,J26&lt;=Unit_Data!$D$8+0.001),"OK","VIOL")</f>
        <v>OK</v>
      </c>
      <c r="L26" s="9" t="str">
        <f>IF(J26&lt;=Daily_Plan!L26+0.001,"OK","VIOL")</f>
        <v>OK</v>
      </c>
      <c r="M26" s="38">
        <f>Daily_Plan!I26</f>
        <v>32</v>
      </c>
      <c r="N26" s="9" t="str">
        <f>IF(AND(M26&gt;=Unit_Data!$D$15-0.001,M26&lt;=Unit_Data!$D$14+0.001),"OK","VIOL")</f>
        <v>OK</v>
      </c>
      <c r="O26" s="9" t="str">
        <f>IF(M26&lt;=Daily_Plan!O26+0.001,"OK","VIOL")</f>
        <v>OK</v>
      </c>
      <c r="P26" s="38">
        <f>Daily_Plan!W26</f>
        <v>44.16</v>
      </c>
      <c r="Q26" s="9" t="str">
        <f>IF(AND(P26&gt;=Unit_Data!$D$23-0.001,P26&lt;=Unit_Data!$D$22+0.001),"OK","VIOL")</f>
        <v>OK</v>
      </c>
      <c r="R26" s="43">
        <f>Daily_Plan!AD26</f>
        <v>95.157175398633242</v>
      </c>
      <c r="S26" s="9" t="str">
        <f>IF(R26&gt;=Unit_Data!$D$28-0.001,"OK","VIOL")</f>
        <v>OK</v>
      </c>
      <c r="T26" s="43">
        <f>Daily_Plan!P26</f>
        <v>1.461089494163424</v>
      </c>
      <c r="U26" s="9" t="str">
        <f>IF(T26&lt;=Unit_Data!$D$29+0.0001,"OK","VIOL")</f>
        <v>OK</v>
      </c>
      <c r="V26" s="42">
        <f>COUNTIFS(Tank_Balance!$D$5:$D$314,A26,Tank_Balance!$L$5:$L$314,"&lt;&gt;OK")</f>
        <v>0</v>
      </c>
      <c r="W26" s="9" t="str">
        <f t="shared" si="1"/>
        <v>OK</v>
      </c>
      <c r="X26" s="21" t="str">
        <f t="shared" si="2"/>
        <v>FEASIBLE</v>
      </c>
    </row>
    <row r="27" spans="1:24" x14ac:dyDescent="0.25">
      <c r="A27" s="9">
        <v>23</v>
      </c>
      <c r="B27" s="37">
        <f>Daily_Plan!B27</f>
        <v>46318</v>
      </c>
      <c r="C27" s="10" t="str">
        <f>Daily_Plan!C27</f>
        <v>Plan</v>
      </c>
      <c r="D27" s="38">
        <f>Daily_Plan!J27</f>
        <v>150</v>
      </c>
      <c r="E27" s="9" t="str">
        <f>IF(AND(D27&gt;=Unit_Data!$D$5-0.001,D27&lt;=Unit_Data!$D$4+0.001),"OK","VIOL")</f>
        <v>OK</v>
      </c>
      <c r="F27" s="42">
        <f>SUMPRODUCT(--(Daily_Plan!D27:G27&gt;Crude_Data!$C$13:$F$13+0.001))+SUMPRODUCT(--(Daily_Plan!D27:G27&lt;Crude_Data!$C$14:$F$14-0.001))</f>
        <v>0</v>
      </c>
      <c r="G27" s="9" t="str">
        <f t="shared" si="0"/>
        <v>OK</v>
      </c>
      <c r="H27" s="23">
        <f t="shared" si="3"/>
        <v>0</v>
      </c>
      <c r="I27" s="9" t="str">
        <f>IF(ABS(H27)&lt;=Unit_Data!$D$6+0.001,"OK","VIOL")</f>
        <v>OK</v>
      </c>
      <c r="J27" s="38">
        <f>Daily_Plan!H27</f>
        <v>22</v>
      </c>
      <c r="K27" s="9" t="str">
        <f>IF(AND(J27&gt;=Unit_Data!$D$9-0.001,J27&lt;=Unit_Data!$D$8+0.001),"OK","VIOL")</f>
        <v>OK</v>
      </c>
      <c r="L27" s="9" t="str">
        <f>IF(J27&lt;=Daily_Plan!L27+0.001,"OK","VIOL")</f>
        <v>OK</v>
      </c>
      <c r="M27" s="38">
        <f>Daily_Plan!I27</f>
        <v>32</v>
      </c>
      <c r="N27" s="9" t="str">
        <f>IF(AND(M27&gt;=Unit_Data!$D$15-0.001,M27&lt;=Unit_Data!$D$14+0.001),"OK","VIOL")</f>
        <v>OK</v>
      </c>
      <c r="O27" s="9" t="str">
        <f>IF(M27&lt;=Daily_Plan!O27+0.001,"OK","VIOL")</f>
        <v>OK</v>
      </c>
      <c r="P27" s="38">
        <f>Daily_Plan!W27</f>
        <v>44.16</v>
      </c>
      <c r="Q27" s="9" t="str">
        <f>IF(AND(P27&gt;=Unit_Data!$D$23-0.001,P27&lt;=Unit_Data!$D$22+0.001),"OK","VIOL")</f>
        <v>OK</v>
      </c>
      <c r="R27" s="43">
        <f>Daily_Plan!AD27</f>
        <v>95.157175398633242</v>
      </c>
      <c r="S27" s="9" t="str">
        <f>IF(R27&gt;=Unit_Data!$D$28-0.001,"OK","VIOL")</f>
        <v>OK</v>
      </c>
      <c r="T27" s="43">
        <f>Daily_Plan!P27</f>
        <v>1.461089494163424</v>
      </c>
      <c r="U27" s="9" t="str">
        <f>IF(T27&lt;=Unit_Data!$D$29+0.0001,"OK","VIOL")</f>
        <v>OK</v>
      </c>
      <c r="V27" s="42">
        <f>COUNTIFS(Tank_Balance!$D$5:$D$314,A27,Tank_Balance!$L$5:$L$314,"&lt;&gt;OK")</f>
        <v>0</v>
      </c>
      <c r="W27" s="9" t="str">
        <f t="shared" si="1"/>
        <v>OK</v>
      </c>
      <c r="X27" s="21" t="str">
        <f t="shared" si="2"/>
        <v>FEASIBLE</v>
      </c>
    </row>
    <row r="28" spans="1:24" x14ac:dyDescent="0.25">
      <c r="A28" s="9">
        <v>24</v>
      </c>
      <c r="B28" s="37">
        <f>Daily_Plan!B28</f>
        <v>46319</v>
      </c>
      <c r="C28" s="10" t="str">
        <f>Daily_Plan!C28</f>
        <v>Plan</v>
      </c>
      <c r="D28" s="38">
        <f>Daily_Plan!J28</f>
        <v>150</v>
      </c>
      <c r="E28" s="9" t="str">
        <f>IF(AND(D28&gt;=Unit_Data!$D$5-0.001,D28&lt;=Unit_Data!$D$4+0.001),"OK","VIOL")</f>
        <v>OK</v>
      </c>
      <c r="F28" s="42">
        <f>SUMPRODUCT(--(Daily_Plan!D28:G28&gt;Crude_Data!$C$13:$F$13+0.001))+SUMPRODUCT(--(Daily_Plan!D28:G28&lt;Crude_Data!$C$14:$F$14-0.001))</f>
        <v>0</v>
      </c>
      <c r="G28" s="9" t="str">
        <f t="shared" si="0"/>
        <v>OK</v>
      </c>
      <c r="H28" s="23">
        <f t="shared" si="3"/>
        <v>0</v>
      </c>
      <c r="I28" s="9" t="str">
        <f>IF(ABS(H28)&lt;=Unit_Data!$D$6+0.001,"OK","VIOL")</f>
        <v>OK</v>
      </c>
      <c r="J28" s="38">
        <f>Daily_Plan!H28</f>
        <v>22</v>
      </c>
      <c r="K28" s="9" t="str">
        <f>IF(AND(J28&gt;=Unit_Data!$D$9-0.001,J28&lt;=Unit_Data!$D$8+0.001),"OK","VIOL")</f>
        <v>OK</v>
      </c>
      <c r="L28" s="9" t="str">
        <f>IF(J28&lt;=Daily_Plan!L28+0.001,"OK","VIOL")</f>
        <v>OK</v>
      </c>
      <c r="M28" s="38">
        <f>Daily_Plan!I28</f>
        <v>32</v>
      </c>
      <c r="N28" s="9" t="str">
        <f>IF(AND(M28&gt;=Unit_Data!$D$15-0.001,M28&lt;=Unit_Data!$D$14+0.001),"OK","VIOL")</f>
        <v>OK</v>
      </c>
      <c r="O28" s="9" t="str">
        <f>IF(M28&lt;=Daily_Plan!O28+0.001,"OK","VIOL")</f>
        <v>OK</v>
      </c>
      <c r="P28" s="38">
        <f>Daily_Plan!W28</f>
        <v>44.16</v>
      </c>
      <c r="Q28" s="9" t="str">
        <f>IF(AND(P28&gt;=Unit_Data!$D$23-0.001,P28&lt;=Unit_Data!$D$22+0.001),"OK","VIOL")</f>
        <v>OK</v>
      </c>
      <c r="R28" s="43">
        <f>Daily_Plan!AD28</f>
        <v>95.157175398633242</v>
      </c>
      <c r="S28" s="9" t="str">
        <f>IF(R28&gt;=Unit_Data!$D$28-0.001,"OK","VIOL")</f>
        <v>OK</v>
      </c>
      <c r="T28" s="43">
        <f>Daily_Plan!P28</f>
        <v>1.461089494163424</v>
      </c>
      <c r="U28" s="9" t="str">
        <f>IF(T28&lt;=Unit_Data!$D$29+0.0001,"OK","VIOL")</f>
        <v>OK</v>
      </c>
      <c r="V28" s="42">
        <f>COUNTIFS(Tank_Balance!$D$5:$D$314,A28,Tank_Balance!$L$5:$L$314,"&lt;&gt;OK")</f>
        <v>0</v>
      </c>
      <c r="W28" s="9" t="str">
        <f t="shared" si="1"/>
        <v>OK</v>
      </c>
      <c r="X28" s="21" t="str">
        <f t="shared" si="2"/>
        <v>FEASIBLE</v>
      </c>
    </row>
    <row r="29" spans="1:24" x14ac:dyDescent="0.25">
      <c r="A29" s="9">
        <v>25</v>
      </c>
      <c r="B29" s="37">
        <f>Daily_Plan!B29</f>
        <v>46320</v>
      </c>
      <c r="C29" s="10" t="str">
        <f>Daily_Plan!C29</f>
        <v>Plan</v>
      </c>
      <c r="D29" s="38">
        <f>Daily_Plan!J29</f>
        <v>150</v>
      </c>
      <c r="E29" s="9" t="str">
        <f>IF(AND(D29&gt;=Unit_Data!$D$5-0.001,D29&lt;=Unit_Data!$D$4+0.001),"OK","VIOL")</f>
        <v>OK</v>
      </c>
      <c r="F29" s="42">
        <f>SUMPRODUCT(--(Daily_Plan!D29:G29&gt;Crude_Data!$C$13:$F$13+0.001))+SUMPRODUCT(--(Daily_Plan!D29:G29&lt;Crude_Data!$C$14:$F$14-0.001))</f>
        <v>0</v>
      </c>
      <c r="G29" s="9" t="str">
        <f t="shared" si="0"/>
        <v>OK</v>
      </c>
      <c r="H29" s="23">
        <f t="shared" si="3"/>
        <v>0</v>
      </c>
      <c r="I29" s="9" t="str">
        <f>IF(ABS(H29)&lt;=Unit_Data!$D$6+0.001,"OK","VIOL")</f>
        <v>OK</v>
      </c>
      <c r="J29" s="38">
        <f>Daily_Plan!H29</f>
        <v>22</v>
      </c>
      <c r="K29" s="9" t="str">
        <f>IF(AND(J29&gt;=Unit_Data!$D$9-0.001,J29&lt;=Unit_Data!$D$8+0.001),"OK","VIOL")</f>
        <v>OK</v>
      </c>
      <c r="L29" s="9" t="str">
        <f>IF(J29&lt;=Daily_Plan!L29+0.001,"OK","VIOL")</f>
        <v>OK</v>
      </c>
      <c r="M29" s="38">
        <f>Daily_Plan!I29</f>
        <v>32</v>
      </c>
      <c r="N29" s="9" t="str">
        <f>IF(AND(M29&gt;=Unit_Data!$D$15-0.001,M29&lt;=Unit_Data!$D$14+0.001),"OK","VIOL")</f>
        <v>OK</v>
      </c>
      <c r="O29" s="9" t="str">
        <f>IF(M29&lt;=Daily_Plan!O29+0.001,"OK","VIOL")</f>
        <v>OK</v>
      </c>
      <c r="P29" s="38">
        <f>Daily_Plan!W29</f>
        <v>44.16</v>
      </c>
      <c r="Q29" s="9" t="str">
        <f>IF(AND(P29&gt;=Unit_Data!$D$23-0.001,P29&lt;=Unit_Data!$D$22+0.001),"OK","VIOL")</f>
        <v>OK</v>
      </c>
      <c r="R29" s="43">
        <f>Daily_Plan!AD29</f>
        <v>95.157175398633242</v>
      </c>
      <c r="S29" s="9" t="str">
        <f>IF(R29&gt;=Unit_Data!$D$28-0.001,"OK","VIOL")</f>
        <v>OK</v>
      </c>
      <c r="T29" s="43">
        <f>Daily_Plan!P29</f>
        <v>1.461089494163424</v>
      </c>
      <c r="U29" s="9" t="str">
        <f>IF(T29&lt;=Unit_Data!$D$29+0.0001,"OK","VIOL")</f>
        <v>OK</v>
      </c>
      <c r="V29" s="42">
        <f>COUNTIFS(Tank_Balance!$D$5:$D$314,A29,Tank_Balance!$L$5:$L$314,"&lt;&gt;OK")</f>
        <v>0</v>
      </c>
      <c r="W29" s="9" t="str">
        <f t="shared" si="1"/>
        <v>OK</v>
      </c>
      <c r="X29" s="21" t="str">
        <f t="shared" si="2"/>
        <v>FEASIBLE</v>
      </c>
    </row>
    <row r="30" spans="1:24" x14ac:dyDescent="0.25">
      <c r="A30" s="9">
        <v>26</v>
      </c>
      <c r="B30" s="37">
        <f>Daily_Plan!B30</f>
        <v>46321</v>
      </c>
      <c r="C30" s="10" t="str">
        <f>Daily_Plan!C30</f>
        <v>Plan</v>
      </c>
      <c r="D30" s="38">
        <f>Daily_Plan!J30</f>
        <v>150</v>
      </c>
      <c r="E30" s="9" t="str">
        <f>IF(AND(D30&gt;=Unit_Data!$D$5-0.001,D30&lt;=Unit_Data!$D$4+0.001),"OK","VIOL")</f>
        <v>OK</v>
      </c>
      <c r="F30" s="42">
        <f>SUMPRODUCT(--(Daily_Plan!D30:G30&gt;Crude_Data!$C$13:$F$13+0.001))+SUMPRODUCT(--(Daily_Plan!D30:G30&lt;Crude_Data!$C$14:$F$14-0.001))</f>
        <v>0</v>
      </c>
      <c r="G30" s="9" t="str">
        <f t="shared" si="0"/>
        <v>OK</v>
      </c>
      <c r="H30" s="23">
        <f t="shared" si="3"/>
        <v>0</v>
      </c>
      <c r="I30" s="9" t="str">
        <f>IF(ABS(H30)&lt;=Unit_Data!$D$6+0.001,"OK","VIOL")</f>
        <v>OK</v>
      </c>
      <c r="J30" s="38">
        <f>Daily_Plan!H30</f>
        <v>22</v>
      </c>
      <c r="K30" s="9" t="str">
        <f>IF(AND(J30&gt;=Unit_Data!$D$9-0.001,J30&lt;=Unit_Data!$D$8+0.001),"OK","VIOL")</f>
        <v>OK</v>
      </c>
      <c r="L30" s="9" t="str">
        <f>IF(J30&lt;=Daily_Plan!L30+0.001,"OK","VIOL")</f>
        <v>OK</v>
      </c>
      <c r="M30" s="38">
        <f>Daily_Plan!I30</f>
        <v>32</v>
      </c>
      <c r="N30" s="9" t="str">
        <f>IF(AND(M30&gt;=Unit_Data!$D$15-0.001,M30&lt;=Unit_Data!$D$14+0.001),"OK","VIOL")</f>
        <v>OK</v>
      </c>
      <c r="O30" s="9" t="str">
        <f>IF(M30&lt;=Daily_Plan!O30+0.001,"OK","VIOL")</f>
        <v>OK</v>
      </c>
      <c r="P30" s="38">
        <f>Daily_Plan!W30</f>
        <v>44.16</v>
      </c>
      <c r="Q30" s="9" t="str">
        <f>IF(AND(P30&gt;=Unit_Data!$D$23-0.001,P30&lt;=Unit_Data!$D$22+0.001),"OK","VIOL")</f>
        <v>OK</v>
      </c>
      <c r="R30" s="43">
        <f>Daily_Plan!AD30</f>
        <v>95.157175398633242</v>
      </c>
      <c r="S30" s="9" t="str">
        <f>IF(R30&gt;=Unit_Data!$D$28-0.001,"OK","VIOL")</f>
        <v>OK</v>
      </c>
      <c r="T30" s="43">
        <f>Daily_Plan!P30</f>
        <v>1.461089494163424</v>
      </c>
      <c r="U30" s="9" t="str">
        <f>IF(T30&lt;=Unit_Data!$D$29+0.0001,"OK","VIOL")</f>
        <v>OK</v>
      </c>
      <c r="V30" s="42">
        <f>COUNTIFS(Tank_Balance!$D$5:$D$314,A30,Tank_Balance!$L$5:$L$314,"&lt;&gt;OK")</f>
        <v>0</v>
      </c>
      <c r="W30" s="9" t="str">
        <f t="shared" si="1"/>
        <v>OK</v>
      </c>
      <c r="X30" s="21" t="str">
        <f t="shared" si="2"/>
        <v>FEASIBLE</v>
      </c>
    </row>
    <row r="31" spans="1:24" x14ac:dyDescent="0.25">
      <c r="A31" s="9">
        <v>27</v>
      </c>
      <c r="B31" s="37">
        <f>Daily_Plan!B31</f>
        <v>46322</v>
      </c>
      <c r="C31" s="10" t="str">
        <f>Daily_Plan!C31</f>
        <v>Plan</v>
      </c>
      <c r="D31" s="38">
        <f>Daily_Plan!J31</f>
        <v>150</v>
      </c>
      <c r="E31" s="9" t="str">
        <f>IF(AND(D31&gt;=Unit_Data!$D$5-0.001,D31&lt;=Unit_Data!$D$4+0.001),"OK","VIOL")</f>
        <v>OK</v>
      </c>
      <c r="F31" s="42">
        <f>SUMPRODUCT(--(Daily_Plan!D31:G31&gt;Crude_Data!$C$13:$F$13+0.001))+SUMPRODUCT(--(Daily_Plan!D31:G31&lt;Crude_Data!$C$14:$F$14-0.001))</f>
        <v>0</v>
      </c>
      <c r="G31" s="9" t="str">
        <f t="shared" si="0"/>
        <v>OK</v>
      </c>
      <c r="H31" s="23">
        <f t="shared" si="3"/>
        <v>0</v>
      </c>
      <c r="I31" s="9" t="str">
        <f>IF(ABS(H31)&lt;=Unit_Data!$D$6+0.001,"OK","VIOL")</f>
        <v>OK</v>
      </c>
      <c r="J31" s="38">
        <f>Daily_Plan!H31</f>
        <v>22</v>
      </c>
      <c r="K31" s="9" t="str">
        <f>IF(AND(J31&gt;=Unit_Data!$D$9-0.001,J31&lt;=Unit_Data!$D$8+0.001),"OK","VIOL")</f>
        <v>OK</v>
      </c>
      <c r="L31" s="9" t="str">
        <f>IF(J31&lt;=Daily_Plan!L31+0.001,"OK","VIOL")</f>
        <v>OK</v>
      </c>
      <c r="M31" s="38">
        <f>Daily_Plan!I31</f>
        <v>32</v>
      </c>
      <c r="N31" s="9" t="str">
        <f>IF(AND(M31&gt;=Unit_Data!$D$15-0.001,M31&lt;=Unit_Data!$D$14+0.001),"OK","VIOL")</f>
        <v>OK</v>
      </c>
      <c r="O31" s="9" t="str">
        <f>IF(M31&lt;=Daily_Plan!O31+0.001,"OK","VIOL")</f>
        <v>OK</v>
      </c>
      <c r="P31" s="38">
        <f>Daily_Plan!W31</f>
        <v>44.16</v>
      </c>
      <c r="Q31" s="9" t="str">
        <f>IF(AND(P31&gt;=Unit_Data!$D$23-0.001,P31&lt;=Unit_Data!$D$22+0.001),"OK","VIOL")</f>
        <v>OK</v>
      </c>
      <c r="R31" s="43">
        <f>Daily_Plan!AD31</f>
        <v>95.157175398633242</v>
      </c>
      <c r="S31" s="9" t="str">
        <f>IF(R31&gt;=Unit_Data!$D$28-0.001,"OK","VIOL")</f>
        <v>OK</v>
      </c>
      <c r="T31" s="43">
        <f>Daily_Plan!P31</f>
        <v>1.461089494163424</v>
      </c>
      <c r="U31" s="9" t="str">
        <f>IF(T31&lt;=Unit_Data!$D$29+0.0001,"OK","VIOL")</f>
        <v>OK</v>
      </c>
      <c r="V31" s="42">
        <f>COUNTIFS(Tank_Balance!$D$5:$D$314,A31,Tank_Balance!$L$5:$L$314,"&lt;&gt;OK")</f>
        <v>0</v>
      </c>
      <c r="W31" s="9" t="str">
        <f t="shared" si="1"/>
        <v>OK</v>
      </c>
      <c r="X31" s="21" t="str">
        <f t="shared" si="2"/>
        <v>FEASIBLE</v>
      </c>
    </row>
    <row r="32" spans="1:24" x14ac:dyDescent="0.25">
      <c r="A32" s="9">
        <v>28</v>
      </c>
      <c r="B32" s="37">
        <f>Daily_Plan!B32</f>
        <v>46323</v>
      </c>
      <c r="C32" s="10" t="str">
        <f>Daily_Plan!C32</f>
        <v>Plan</v>
      </c>
      <c r="D32" s="38">
        <f>Daily_Plan!J32</f>
        <v>150</v>
      </c>
      <c r="E32" s="9" t="str">
        <f>IF(AND(D32&gt;=Unit_Data!$D$5-0.001,D32&lt;=Unit_Data!$D$4+0.001),"OK","VIOL")</f>
        <v>OK</v>
      </c>
      <c r="F32" s="42">
        <f>SUMPRODUCT(--(Daily_Plan!D32:G32&gt;Crude_Data!$C$13:$F$13+0.001))+SUMPRODUCT(--(Daily_Plan!D32:G32&lt;Crude_Data!$C$14:$F$14-0.001))</f>
        <v>0</v>
      </c>
      <c r="G32" s="9" t="str">
        <f t="shared" si="0"/>
        <v>OK</v>
      </c>
      <c r="H32" s="23">
        <f t="shared" si="3"/>
        <v>0</v>
      </c>
      <c r="I32" s="9" t="str">
        <f>IF(ABS(H32)&lt;=Unit_Data!$D$6+0.001,"OK","VIOL")</f>
        <v>OK</v>
      </c>
      <c r="J32" s="38">
        <f>Daily_Plan!H32</f>
        <v>22</v>
      </c>
      <c r="K32" s="9" t="str">
        <f>IF(AND(J32&gt;=Unit_Data!$D$9-0.001,J32&lt;=Unit_Data!$D$8+0.001),"OK","VIOL")</f>
        <v>OK</v>
      </c>
      <c r="L32" s="9" t="str">
        <f>IF(J32&lt;=Daily_Plan!L32+0.001,"OK","VIOL")</f>
        <v>OK</v>
      </c>
      <c r="M32" s="38">
        <f>Daily_Plan!I32</f>
        <v>32</v>
      </c>
      <c r="N32" s="9" t="str">
        <f>IF(AND(M32&gt;=Unit_Data!$D$15-0.001,M32&lt;=Unit_Data!$D$14+0.001),"OK","VIOL")</f>
        <v>OK</v>
      </c>
      <c r="O32" s="9" t="str">
        <f>IF(M32&lt;=Daily_Plan!O32+0.001,"OK","VIOL")</f>
        <v>OK</v>
      </c>
      <c r="P32" s="38">
        <f>Daily_Plan!W32</f>
        <v>44.16</v>
      </c>
      <c r="Q32" s="9" t="str">
        <f>IF(AND(P32&gt;=Unit_Data!$D$23-0.001,P32&lt;=Unit_Data!$D$22+0.001),"OK","VIOL")</f>
        <v>OK</v>
      </c>
      <c r="R32" s="43">
        <f>Daily_Plan!AD32</f>
        <v>95.157175398633242</v>
      </c>
      <c r="S32" s="9" t="str">
        <f>IF(R32&gt;=Unit_Data!$D$28-0.001,"OK","VIOL")</f>
        <v>OK</v>
      </c>
      <c r="T32" s="43">
        <f>Daily_Plan!P32</f>
        <v>1.461089494163424</v>
      </c>
      <c r="U32" s="9" t="str">
        <f>IF(T32&lt;=Unit_Data!$D$29+0.0001,"OK","VIOL")</f>
        <v>OK</v>
      </c>
      <c r="V32" s="42">
        <f>COUNTIFS(Tank_Balance!$D$5:$D$314,A32,Tank_Balance!$L$5:$L$314,"&lt;&gt;OK")</f>
        <v>0</v>
      </c>
      <c r="W32" s="9" t="str">
        <f t="shared" si="1"/>
        <v>OK</v>
      </c>
      <c r="X32" s="21" t="str">
        <f t="shared" si="2"/>
        <v>FEASIBLE</v>
      </c>
    </row>
    <row r="33" spans="1:24" x14ac:dyDescent="0.25">
      <c r="A33" s="9">
        <v>29</v>
      </c>
      <c r="B33" s="37">
        <f>Daily_Plan!B33</f>
        <v>46324</v>
      </c>
      <c r="C33" s="10" t="str">
        <f>Daily_Plan!C33</f>
        <v>Plan</v>
      </c>
      <c r="D33" s="38">
        <f>Daily_Plan!J33</f>
        <v>150</v>
      </c>
      <c r="E33" s="9" t="str">
        <f>IF(AND(D33&gt;=Unit_Data!$D$5-0.001,D33&lt;=Unit_Data!$D$4+0.001),"OK","VIOL")</f>
        <v>OK</v>
      </c>
      <c r="F33" s="42">
        <f>SUMPRODUCT(--(Daily_Plan!D33:G33&gt;Crude_Data!$C$13:$F$13+0.001))+SUMPRODUCT(--(Daily_Plan!D33:G33&lt;Crude_Data!$C$14:$F$14-0.001))</f>
        <v>0</v>
      </c>
      <c r="G33" s="9" t="str">
        <f t="shared" si="0"/>
        <v>OK</v>
      </c>
      <c r="H33" s="23">
        <f t="shared" si="3"/>
        <v>0</v>
      </c>
      <c r="I33" s="9" t="str">
        <f>IF(ABS(H33)&lt;=Unit_Data!$D$6+0.001,"OK","VIOL")</f>
        <v>OK</v>
      </c>
      <c r="J33" s="38">
        <f>Daily_Plan!H33</f>
        <v>22</v>
      </c>
      <c r="K33" s="9" t="str">
        <f>IF(AND(J33&gt;=Unit_Data!$D$9-0.001,J33&lt;=Unit_Data!$D$8+0.001),"OK","VIOL")</f>
        <v>OK</v>
      </c>
      <c r="L33" s="9" t="str">
        <f>IF(J33&lt;=Daily_Plan!L33+0.001,"OK","VIOL")</f>
        <v>OK</v>
      </c>
      <c r="M33" s="38">
        <f>Daily_Plan!I33</f>
        <v>32</v>
      </c>
      <c r="N33" s="9" t="str">
        <f>IF(AND(M33&gt;=Unit_Data!$D$15-0.001,M33&lt;=Unit_Data!$D$14+0.001),"OK","VIOL")</f>
        <v>OK</v>
      </c>
      <c r="O33" s="9" t="str">
        <f>IF(M33&lt;=Daily_Plan!O33+0.001,"OK","VIOL")</f>
        <v>OK</v>
      </c>
      <c r="P33" s="38">
        <f>Daily_Plan!W33</f>
        <v>44.16</v>
      </c>
      <c r="Q33" s="9" t="str">
        <f>IF(AND(P33&gt;=Unit_Data!$D$23-0.001,P33&lt;=Unit_Data!$D$22+0.001),"OK","VIOL")</f>
        <v>OK</v>
      </c>
      <c r="R33" s="43">
        <f>Daily_Plan!AD33</f>
        <v>95.157175398633242</v>
      </c>
      <c r="S33" s="9" t="str">
        <f>IF(R33&gt;=Unit_Data!$D$28-0.001,"OK","VIOL")</f>
        <v>OK</v>
      </c>
      <c r="T33" s="43">
        <f>Daily_Plan!P33</f>
        <v>1.461089494163424</v>
      </c>
      <c r="U33" s="9" t="str">
        <f>IF(T33&lt;=Unit_Data!$D$29+0.0001,"OK","VIOL")</f>
        <v>OK</v>
      </c>
      <c r="V33" s="42">
        <f>COUNTIFS(Tank_Balance!$D$5:$D$314,A33,Tank_Balance!$L$5:$L$314,"&lt;&gt;OK")</f>
        <v>0</v>
      </c>
      <c r="W33" s="9" t="str">
        <f t="shared" si="1"/>
        <v>OK</v>
      </c>
      <c r="X33" s="21" t="str">
        <f t="shared" si="2"/>
        <v>FEASIBLE</v>
      </c>
    </row>
    <row r="34" spans="1:24" x14ac:dyDescent="0.25">
      <c r="A34" s="9">
        <v>30</v>
      </c>
      <c r="B34" s="37">
        <f>Daily_Plan!B34</f>
        <v>46325</v>
      </c>
      <c r="C34" s="10" t="str">
        <f>Daily_Plan!C34</f>
        <v>Plan</v>
      </c>
      <c r="D34" s="38">
        <f>Daily_Plan!J34</f>
        <v>150</v>
      </c>
      <c r="E34" s="9" t="str">
        <f>IF(AND(D34&gt;=Unit_Data!$D$5-0.001,D34&lt;=Unit_Data!$D$4+0.001),"OK","VIOL")</f>
        <v>OK</v>
      </c>
      <c r="F34" s="42">
        <f>SUMPRODUCT(--(Daily_Plan!D34:G34&gt;Crude_Data!$C$13:$F$13+0.001))+SUMPRODUCT(--(Daily_Plan!D34:G34&lt;Crude_Data!$C$14:$F$14-0.001))</f>
        <v>0</v>
      </c>
      <c r="G34" s="9" t="str">
        <f t="shared" si="0"/>
        <v>OK</v>
      </c>
      <c r="H34" s="23">
        <f t="shared" si="3"/>
        <v>0</v>
      </c>
      <c r="I34" s="9" t="str">
        <f>IF(ABS(H34)&lt;=Unit_Data!$D$6+0.001,"OK","VIOL")</f>
        <v>OK</v>
      </c>
      <c r="J34" s="38">
        <f>Daily_Plan!H34</f>
        <v>22</v>
      </c>
      <c r="K34" s="9" t="str">
        <f>IF(AND(J34&gt;=Unit_Data!$D$9-0.001,J34&lt;=Unit_Data!$D$8+0.001),"OK","VIOL")</f>
        <v>OK</v>
      </c>
      <c r="L34" s="9" t="str">
        <f>IF(J34&lt;=Daily_Plan!L34+0.001,"OK","VIOL")</f>
        <v>OK</v>
      </c>
      <c r="M34" s="38">
        <f>Daily_Plan!I34</f>
        <v>32</v>
      </c>
      <c r="N34" s="9" t="str">
        <f>IF(AND(M34&gt;=Unit_Data!$D$15-0.001,M34&lt;=Unit_Data!$D$14+0.001),"OK","VIOL")</f>
        <v>OK</v>
      </c>
      <c r="O34" s="9" t="str">
        <f>IF(M34&lt;=Daily_Plan!O34+0.001,"OK","VIOL")</f>
        <v>OK</v>
      </c>
      <c r="P34" s="38">
        <f>Daily_Plan!W34</f>
        <v>44.16</v>
      </c>
      <c r="Q34" s="9" t="str">
        <f>IF(AND(P34&gt;=Unit_Data!$D$23-0.001,P34&lt;=Unit_Data!$D$22+0.001),"OK","VIOL")</f>
        <v>OK</v>
      </c>
      <c r="R34" s="43">
        <f>Daily_Plan!AD34</f>
        <v>95.157175398633242</v>
      </c>
      <c r="S34" s="9" t="str">
        <f>IF(R34&gt;=Unit_Data!$D$28-0.001,"OK","VIOL")</f>
        <v>OK</v>
      </c>
      <c r="T34" s="43">
        <f>Daily_Plan!P34</f>
        <v>1.461089494163424</v>
      </c>
      <c r="U34" s="9" t="str">
        <f>IF(T34&lt;=Unit_Data!$D$29+0.0001,"OK","VIOL")</f>
        <v>OK</v>
      </c>
      <c r="V34" s="42">
        <f>COUNTIFS(Tank_Balance!$D$5:$D$314,A34,Tank_Balance!$L$5:$L$314,"&lt;&gt;OK")</f>
        <v>0</v>
      </c>
      <c r="W34" s="9" t="str">
        <f t="shared" si="1"/>
        <v>OK</v>
      </c>
      <c r="X34" s="21" t="str">
        <f t="shared" si="2"/>
        <v>FEASIBLE</v>
      </c>
    </row>
    <row r="35" spans="1:24" x14ac:dyDescent="0.25">
      <c r="A35" s="9">
        <v>31</v>
      </c>
      <c r="B35" s="37">
        <f>Daily_Plan!B35</f>
        <v>46326</v>
      </c>
      <c r="C35" s="10" t="str">
        <f>Daily_Plan!C35</f>
        <v>Plan</v>
      </c>
      <c r="D35" s="38">
        <f>Daily_Plan!J35</f>
        <v>150</v>
      </c>
      <c r="E35" s="9" t="str">
        <f>IF(AND(D35&gt;=Unit_Data!$D$5-0.001,D35&lt;=Unit_Data!$D$4+0.001),"OK","VIOL")</f>
        <v>OK</v>
      </c>
      <c r="F35" s="42">
        <f>SUMPRODUCT(--(Daily_Plan!D35:G35&gt;Crude_Data!$C$13:$F$13+0.001))+SUMPRODUCT(--(Daily_Plan!D35:G35&lt;Crude_Data!$C$14:$F$14-0.001))</f>
        <v>0</v>
      </c>
      <c r="G35" s="9" t="str">
        <f t="shared" si="0"/>
        <v>OK</v>
      </c>
      <c r="H35" s="23">
        <f t="shared" si="3"/>
        <v>0</v>
      </c>
      <c r="I35" s="9" t="str">
        <f>IF(ABS(H35)&lt;=Unit_Data!$D$6+0.001,"OK","VIOL")</f>
        <v>OK</v>
      </c>
      <c r="J35" s="38">
        <f>Daily_Plan!H35</f>
        <v>22</v>
      </c>
      <c r="K35" s="9" t="str">
        <f>IF(AND(J35&gt;=Unit_Data!$D$9-0.001,J35&lt;=Unit_Data!$D$8+0.001),"OK","VIOL")</f>
        <v>OK</v>
      </c>
      <c r="L35" s="9" t="str">
        <f>IF(J35&lt;=Daily_Plan!L35+0.001,"OK","VIOL")</f>
        <v>OK</v>
      </c>
      <c r="M35" s="38">
        <f>Daily_Plan!I35</f>
        <v>32</v>
      </c>
      <c r="N35" s="9" t="str">
        <f>IF(AND(M35&gt;=Unit_Data!$D$15-0.001,M35&lt;=Unit_Data!$D$14+0.001),"OK","VIOL")</f>
        <v>OK</v>
      </c>
      <c r="O35" s="9" t="str">
        <f>IF(M35&lt;=Daily_Plan!O35+0.001,"OK","VIOL")</f>
        <v>OK</v>
      </c>
      <c r="P35" s="38">
        <f>Daily_Plan!W35</f>
        <v>44.16</v>
      </c>
      <c r="Q35" s="9" t="str">
        <f>IF(AND(P35&gt;=Unit_Data!$D$23-0.001,P35&lt;=Unit_Data!$D$22+0.001),"OK","VIOL")</f>
        <v>OK</v>
      </c>
      <c r="R35" s="43">
        <f>Daily_Plan!AD35</f>
        <v>95.157175398633242</v>
      </c>
      <c r="S35" s="9" t="str">
        <f>IF(R35&gt;=Unit_Data!$D$28-0.001,"OK","VIOL")</f>
        <v>OK</v>
      </c>
      <c r="T35" s="43">
        <f>Daily_Plan!P35</f>
        <v>1.461089494163424</v>
      </c>
      <c r="U35" s="9" t="str">
        <f>IF(T35&lt;=Unit_Data!$D$29+0.0001,"OK","VIOL")</f>
        <v>OK</v>
      </c>
      <c r="V35" s="42">
        <f>COUNTIFS(Tank_Balance!$D$5:$D$314,A35,Tank_Balance!$L$5:$L$314,"&lt;&gt;OK")</f>
        <v>0</v>
      </c>
      <c r="W35" s="9" t="str">
        <f t="shared" si="1"/>
        <v>OK</v>
      </c>
      <c r="X35" s="21" t="str">
        <f t="shared" si="2"/>
        <v>FEASIBLE</v>
      </c>
    </row>
    <row r="37" spans="1:24" x14ac:dyDescent="0.25">
      <c r="A37" s="27" t="s">
        <v>327</v>
      </c>
      <c r="B37" s="28"/>
      <c r="C37" s="28"/>
      <c r="D37" s="28"/>
      <c r="E37" s="44">
        <f>COUNTIF(E5:E35,"VIOL")</f>
        <v>0</v>
      </c>
      <c r="F37" s="28"/>
      <c r="G37" s="44">
        <f>COUNTIF(G5:G35,"VIOL")</f>
        <v>0</v>
      </c>
      <c r="H37" s="28"/>
      <c r="I37" s="44">
        <f>COUNTIF(I5:I35,"VIOL")</f>
        <v>0</v>
      </c>
      <c r="J37" s="28"/>
      <c r="K37" s="44">
        <f>COUNTIF(K5:K35,"VIOL")</f>
        <v>0</v>
      </c>
      <c r="L37" s="44">
        <f>COUNTIF(L5:L35,"VIOL")</f>
        <v>0</v>
      </c>
      <c r="M37" s="28"/>
      <c r="N37" s="44">
        <f>COUNTIF(N5:N35,"VIOL")</f>
        <v>0</v>
      </c>
      <c r="O37" s="44">
        <f>COUNTIF(O5:O35,"VIOL")</f>
        <v>0</v>
      </c>
      <c r="P37" s="28"/>
      <c r="Q37" s="44">
        <f>COUNTIF(Q5:Q35,"VIOL")</f>
        <v>0</v>
      </c>
      <c r="R37" s="28"/>
      <c r="S37" s="44">
        <f>COUNTIF(S5:S35,"VIOL")</f>
        <v>0</v>
      </c>
      <c r="T37" s="28"/>
      <c r="U37" s="44">
        <f>COUNTIF(U5:U35,"VIOL")</f>
        <v>0</v>
      </c>
      <c r="V37" s="28"/>
      <c r="W37" s="44">
        <f>COUNTIF(W5:W35,"VIOL")</f>
        <v>0</v>
      </c>
      <c r="X37" s="44">
        <f>SUM(E37,G37,I37,K37,L37,N37,O37,Q37,S37,U37,W37,E52)</f>
        <v>0</v>
      </c>
    </row>
    <row r="40" spans="1:24" x14ac:dyDescent="0.25">
      <c r="A40" s="45" t="s">
        <v>328</v>
      </c>
    </row>
    <row r="41" spans="1:24" ht="25.5" x14ac:dyDescent="0.25">
      <c r="A41" s="19" t="s">
        <v>268</v>
      </c>
      <c r="B41" s="19" t="s">
        <v>269</v>
      </c>
      <c r="C41" s="19" t="s">
        <v>329</v>
      </c>
      <c r="D41" s="19" t="s">
        <v>330</v>
      </c>
      <c r="E41" s="19" t="s">
        <v>331</v>
      </c>
    </row>
    <row r="42" spans="1:24" x14ac:dyDescent="0.25">
      <c r="A42" s="10" t="str">
        <f>Tank_Master!A4</f>
        <v>TK-101</v>
      </c>
      <c r="B42" s="10" t="str">
        <f>Tank_Master!B4</f>
        <v>Arab Light</v>
      </c>
      <c r="C42" s="38">
        <f>Tank_Balance!I35</f>
        <v>569</v>
      </c>
      <c r="D42" s="38">
        <f>Tank_Master!G4</f>
        <v>400</v>
      </c>
      <c r="E42" s="9" t="str">
        <f t="shared" ref="E42:E51" si="4">IF(C42&gt;=D42-0.001,"OK","VIOL")</f>
        <v>OK</v>
      </c>
    </row>
    <row r="43" spans="1:24" x14ac:dyDescent="0.25">
      <c r="A43" s="10" t="str">
        <f>Tank_Master!A5</f>
        <v>TK-102</v>
      </c>
      <c r="B43" s="10" t="str">
        <f>Tank_Master!B5</f>
        <v>Murban</v>
      </c>
      <c r="C43" s="38">
        <f>Tank_Balance!I66</f>
        <v>278</v>
      </c>
      <c r="D43" s="38">
        <f>Tank_Master!G5</f>
        <v>250</v>
      </c>
      <c r="E43" s="9" t="str">
        <f t="shared" si="4"/>
        <v>OK</v>
      </c>
    </row>
    <row r="44" spans="1:24" x14ac:dyDescent="0.25">
      <c r="A44" s="10" t="str">
        <f>Tank_Master!A6</f>
        <v>TK-103</v>
      </c>
      <c r="B44" s="10" t="str">
        <f>Tank_Master!B6</f>
        <v>Tapis</v>
      </c>
      <c r="C44" s="38">
        <f>Tank_Balance!I97</f>
        <v>414</v>
      </c>
      <c r="D44" s="38">
        <f>Tank_Master!G6</f>
        <v>250</v>
      </c>
      <c r="E44" s="9" t="str">
        <f t="shared" si="4"/>
        <v>OK</v>
      </c>
    </row>
    <row r="45" spans="1:24" x14ac:dyDescent="0.25">
      <c r="A45" s="10" t="str">
        <f>Tank_Master!A7</f>
        <v>TK-104</v>
      </c>
      <c r="B45" s="10" t="str">
        <f>Tank_Master!B7</f>
        <v>Kimanis</v>
      </c>
      <c r="C45" s="38">
        <f>Tank_Balance!I128</f>
        <v>159</v>
      </c>
      <c r="D45" s="38">
        <f>Tank_Master!G7</f>
        <v>150</v>
      </c>
      <c r="E45" s="9" t="str">
        <f t="shared" si="4"/>
        <v>OK</v>
      </c>
    </row>
    <row r="46" spans="1:24" x14ac:dyDescent="0.25">
      <c r="A46" s="10" t="str">
        <f>Tank_Master!A8</f>
        <v>TK-201</v>
      </c>
      <c r="B46" s="10" t="str">
        <f>Tank_Master!B8</f>
        <v>LPG</v>
      </c>
      <c r="C46" s="38">
        <f>Tank_Balance!I159</f>
        <v>39.680000000000007</v>
      </c>
      <c r="D46" s="38">
        <f>Tank_Master!G8</f>
        <v>20</v>
      </c>
      <c r="E46" s="9" t="str">
        <f t="shared" si="4"/>
        <v>OK</v>
      </c>
    </row>
    <row r="47" spans="1:24" x14ac:dyDescent="0.25">
      <c r="A47" s="10" t="str">
        <f>Tank_Master!A9</f>
        <v>TK-301</v>
      </c>
      <c r="B47" s="10" t="str">
        <f>Tank_Master!B9</f>
        <v>Naphtha</v>
      </c>
      <c r="C47" s="38">
        <f>Tank_Balance!I190</f>
        <v>102.97999999999988</v>
      </c>
      <c r="D47" s="38">
        <f>Tank_Master!G9</f>
        <v>50</v>
      </c>
      <c r="E47" s="9" t="str">
        <f t="shared" si="4"/>
        <v>OK</v>
      </c>
    </row>
    <row r="48" spans="1:24" x14ac:dyDescent="0.25">
      <c r="A48" s="10" t="str">
        <f>Tank_Master!A10</f>
        <v>TK-401</v>
      </c>
      <c r="B48" s="10" t="str">
        <f>Tank_Master!B10</f>
        <v>Gasoline 95</v>
      </c>
      <c r="C48" s="38">
        <f>Tank_Balance!I221</f>
        <v>172.76000000000016</v>
      </c>
      <c r="D48" s="38">
        <f>Tank_Master!G10</f>
        <v>150</v>
      </c>
      <c r="E48" s="9" t="str">
        <f t="shared" si="4"/>
        <v>OK</v>
      </c>
    </row>
    <row r="49" spans="1:5" x14ac:dyDescent="0.25">
      <c r="A49" s="10" t="str">
        <f>Tank_Master!A11</f>
        <v>TK-501</v>
      </c>
      <c r="B49" s="10" t="str">
        <f>Tank_Master!B11</f>
        <v>Jet A-1</v>
      </c>
      <c r="C49" s="38">
        <f>Tank_Balance!I252</f>
        <v>128.13000000000017</v>
      </c>
      <c r="D49" s="38">
        <f>Tank_Master!G11</f>
        <v>100</v>
      </c>
      <c r="E49" s="9" t="str">
        <f t="shared" si="4"/>
        <v>OK</v>
      </c>
    </row>
    <row r="50" spans="1:5" x14ac:dyDescent="0.25">
      <c r="A50" s="10" t="str">
        <f>Tank_Master!A12</f>
        <v>TK-601</v>
      </c>
      <c r="B50" s="10" t="str">
        <f>Tank_Master!B12</f>
        <v>Diesel B10</v>
      </c>
      <c r="C50" s="38">
        <f>Tank_Balance!I283</f>
        <v>196.05559999999957</v>
      </c>
      <c r="D50" s="38">
        <f>Tank_Master!G12</f>
        <v>180</v>
      </c>
      <c r="E50" s="9" t="str">
        <f t="shared" si="4"/>
        <v>OK</v>
      </c>
    </row>
    <row r="51" spans="1:5" x14ac:dyDescent="0.25">
      <c r="A51" s="10" t="str">
        <f>Tank_Master!A13</f>
        <v>TK-701</v>
      </c>
      <c r="B51" s="10" t="str">
        <f>Tank_Master!B13</f>
        <v>Fuel Oil</v>
      </c>
      <c r="C51" s="38">
        <f>Tank_Balance!I314</f>
        <v>231.6699999999999</v>
      </c>
      <c r="D51" s="38">
        <f>Tank_Master!G13</f>
        <v>100</v>
      </c>
      <c r="E51" s="9" t="str">
        <f t="shared" si="4"/>
        <v>OK</v>
      </c>
    </row>
    <row r="52" spans="1:5" x14ac:dyDescent="0.25">
      <c r="A52" s="27" t="s">
        <v>332</v>
      </c>
      <c r="E52" s="44">
        <f>COUNTIF(E42:E51,"VIOL")</f>
        <v>0</v>
      </c>
    </row>
  </sheetData>
  <conditionalFormatting sqref="E42:E51">
    <cfRule type="expression" dxfId="3" priority="4">
      <formula>OR(E42="VIOL",E42="INFEASIBLE")</formula>
    </cfRule>
    <cfRule type="expression" dxfId="2" priority="5">
      <formula>OR(E42="OK",E42="FEASIBLE")</formula>
    </cfRule>
  </conditionalFormatting>
  <conditionalFormatting sqref="E5:X35">
    <cfRule type="expression" dxfId="1" priority="2">
      <formula>OR(E5="VIOL",E5="INFEASIBLE")</formula>
    </cfRule>
    <cfRule type="expression" dxfId="0" priority="3">
      <formula>OR(E5="OK",E5="FEASIBLE")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showGridLines="0" zoomScaleNormal="100" workbookViewId="0">
      <selection activeCell="I11" sqref="I11"/>
    </sheetView>
  </sheetViews>
  <sheetFormatPr defaultColWidth="8.7109375" defaultRowHeight="15" customHeight="1" x14ac:dyDescent="0.25"/>
  <cols>
    <col min="1" max="1" width="34" customWidth="1"/>
    <col min="2" max="2" width="10" customWidth="1"/>
    <col min="3" max="6" width="14" customWidth="1"/>
  </cols>
  <sheetData>
    <row r="1" spans="1:6" ht="18" x14ac:dyDescent="0.25">
      <c r="A1" s="3" t="s">
        <v>333</v>
      </c>
    </row>
    <row r="2" spans="1:6" x14ac:dyDescent="0.25">
      <c r="A2" s="4" t="s">
        <v>334</v>
      </c>
    </row>
    <row r="3" spans="1:6" x14ac:dyDescent="0.25">
      <c r="A3" s="19" t="s">
        <v>335</v>
      </c>
      <c r="B3" s="19" t="s">
        <v>336</v>
      </c>
      <c r="C3" s="19" t="s">
        <v>278</v>
      </c>
      <c r="D3" s="19" t="s">
        <v>281</v>
      </c>
      <c r="E3" s="19" t="s">
        <v>283</v>
      </c>
      <c r="F3" s="19" t="s">
        <v>285</v>
      </c>
    </row>
    <row r="4" spans="1:6" x14ac:dyDescent="0.25">
      <c r="A4" s="9" t="s">
        <v>337</v>
      </c>
      <c r="B4" s="9" t="s">
        <v>338</v>
      </c>
      <c r="C4" s="46">
        <v>76</v>
      </c>
      <c r="D4" s="46">
        <v>80.5</v>
      </c>
      <c r="E4" s="46">
        <v>84</v>
      </c>
      <c r="F4" s="46">
        <v>82.5</v>
      </c>
    </row>
    <row r="5" spans="1:6" x14ac:dyDescent="0.25">
      <c r="A5" s="9" t="s">
        <v>339</v>
      </c>
      <c r="B5" s="9" t="s">
        <v>340</v>
      </c>
      <c r="C5" s="47">
        <v>0.02</v>
      </c>
      <c r="D5" s="47">
        <v>0.03</v>
      </c>
      <c r="E5" s="47">
        <v>0.03</v>
      </c>
      <c r="F5" s="47">
        <v>0.02</v>
      </c>
    </row>
    <row r="6" spans="1:6" x14ac:dyDescent="0.25">
      <c r="A6" s="9" t="s">
        <v>341</v>
      </c>
      <c r="B6" s="9" t="s">
        <v>340</v>
      </c>
      <c r="C6" s="47">
        <v>0.18</v>
      </c>
      <c r="D6" s="47">
        <v>0.24</v>
      </c>
      <c r="E6" s="47">
        <v>0.22</v>
      </c>
      <c r="F6" s="47">
        <v>0.2</v>
      </c>
    </row>
    <row r="7" spans="1:6" x14ac:dyDescent="0.25">
      <c r="A7" s="9" t="s">
        <v>342</v>
      </c>
      <c r="B7" s="9" t="s">
        <v>340</v>
      </c>
      <c r="C7" s="47">
        <v>0.14000000000000001</v>
      </c>
      <c r="D7" s="47">
        <v>0.16</v>
      </c>
      <c r="E7" s="47">
        <v>0.17</v>
      </c>
      <c r="F7" s="47">
        <v>0.15</v>
      </c>
    </row>
    <row r="8" spans="1:6" x14ac:dyDescent="0.25">
      <c r="A8" s="9" t="s">
        <v>343</v>
      </c>
      <c r="B8" s="9" t="s">
        <v>340</v>
      </c>
      <c r="C8" s="47">
        <v>0.2</v>
      </c>
      <c r="D8" s="47">
        <v>0.22</v>
      </c>
      <c r="E8" s="47">
        <v>0.3</v>
      </c>
      <c r="F8" s="47">
        <v>0.32</v>
      </c>
    </row>
    <row r="9" spans="1:6" x14ac:dyDescent="0.25">
      <c r="A9" s="9" t="s">
        <v>344</v>
      </c>
      <c r="B9" s="9" t="s">
        <v>340</v>
      </c>
      <c r="C9" s="47">
        <v>0.45</v>
      </c>
      <c r="D9" s="47">
        <v>0.34</v>
      </c>
      <c r="E9" s="47">
        <v>0.27</v>
      </c>
      <c r="F9" s="47">
        <v>0.3</v>
      </c>
    </row>
    <row r="10" spans="1:6" x14ac:dyDescent="0.25">
      <c r="A10" s="9" t="s">
        <v>345</v>
      </c>
      <c r="B10" s="9" t="s">
        <v>340</v>
      </c>
      <c r="C10" s="47">
        <v>0.01</v>
      </c>
      <c r="D10" s="47">
        <v>0.01</v>
      </c>
      <c r="E10" s="47">
        <v>0.01</v>
      </c>
      <c r="F10" s="47">
        <v>0.01</v>
      </c>
    </row>
    <row r="11" spans="1:6" x14ac:dyDescent="0.25">
      <c r="A11" s="21" t="s">
        <v>346</v>
      </c>
      <c r="B11" s="9" t="s">
        <v>340</v>
      </c>
      <c r="C11" s="48">
        <f>SUM(C5:C10)</f>
        <v>1</v>
      </c>
      <c r="D11" s="48">
        <f>SUM(D5:D10)</f>
        <v>1</v>
      </c>
      <c r="E11" s="48">
        <f>SUM(E5:E10)</f>
        <v>1</v>
      </c>
      <c r="F11" s="48">
        <f>SUM(F5:F10)</f>
        <v>1</v>
      </c>
    </row>
    <row r="12" spans="1:6" x14ac:dyDescent="0.25">
      <c r="A12" s="9" t="s">
        <v>347</v>
      </c>
      <c r="B12" s="9" t="s">
        <v>348</v>
      </c>
      <c r="C12" s="46">
        <v>3</v>
      </c>
      <c r="D12" s="46">
        <v>1.3</v>
      </c>
      <c r="E12" s="46">
        <v>0.15</v>
      </c>
      <c r="F12" s="46">
        <v>0.2</v>
      </c>
    </row>
    <row r="13" spans="1:6" x14ac:dyDescent="0.25">
      <c r="A13" s="9" t="s">
        <v>349</v>
      </c>
      <c r="B13" s="9" t="s">
        <v>350</v>
      </c>
      <c r="C13" s="49">
        <v>60</v>
      </c>
      <c r="D13" s="49">
        <v>50</v>
      </c>
      <c r="E13" s="49">
        <v>50</v>
      </c>
      <c r="F13" s="49">
        <v>40</v>
      </c>
    </row>
    <row r="14" spans="1:6" x14ac:dyDescent="0.25">
      <c r="A14" s="9" t="s">
        <v>351</v>
      </c>
      <c r="B14" s="9" t="s">
        <v>350</v>
      </c>
      <c r="C14" s="49">
        <v>0</v>
      </c>
      <c r="D14" s="49">
        <v>0</v>
      </c>
      <c r="E14" s="49">
        <v>0</v>
      </c>
      <c r="F14" s="49">
        <v>0</v>
      </c>
    </row>
    <row r="15" spans="1:6" x14ac:dyDescent="0.25">
      <c r="A15" s="9" t="s">
        <v>352</v>
      </c>
      <c r="B15" s="9" t="s">
        <v>187</v>
      </c>
      <c r="C15" s="5" t="s">
        <v>277</v>
      </c>
      <c r="D15" s="5" t="s">
        <v>280</v>
      </c>
      <c r="E15" s="5" t="s">
        <v>282</v>
      </c>
      <c r="F15" s="5" t="s">
        <v>284</v>
      </c>
    </row>
    <row r="17" spans="1:1" x14ac:dyDescent="0.25">
      <c r="A17" s="32" t="s">
        <v>353</v>
      </c>
    </row>
    <row r="18" spans="1:1" x14ac:dyDescent="0.25">
      <c r="A18" s="50" t="s">
        <v>354</v>
      </c>
    </row>
    <row r="19" spans="1:1" x14ac:dyDescent="0.25">
      <c r="A19" s="50" t="s">
        <v>355</v>
      </c>
    </row>
    <row r="20" spans="1:1" x14ac:dyDescent="0.25">
      <c r="A20" s="50" t="s">
        <v>356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showGridLines="0" zoomScaleNormal="100" workbookViewId="0">
      <selection activeCell="D6" sqref="D6"/>
    </sheetView>
  </sheetViews>
  <sheetFormatPr defaultColWidth="8.7109375" defaultRowHeight="15" customHeight="1" x14ac:dyDescent="0.25"/>
  <cols>
    <col min="1" max="1" width="12" customWidth="1"/>
    <col min="2" max="2" width="32" customWidth="1"/>
    <col min="3" max="3" width="14" customWidth="1"/>
    <col min="4" max="4" width="11" customWidth="1"/>
    <col min="5" max="5" width="40" customWidth="1"/>
  </cols>
  <sheetData>
    <row r="1" spans="1:5" ht="18" x14ac:dyDescent="0.25">
      <c r="A1" s="3" t="s">
        <v>357</v>
      </c>
    </row>
    <row r="2" spans="1:5" x14ac:dyDescent="0.25">
      <c r="A2" s="4" t="s">
        <v>358</v>
      </c>
    </row>
    <row r="3" spans="1:5" ht="25.5" x14ac:dyDescent="0.25">
      <c r="A3" s="19" t="s">
        <v>336</v>
      </c>
      <c r="B3" s="19" t="s">
        <v>359</v>
      </c>
      <c r="C3" s="19" t="s">
        <v>360</v>
      </c>
      <c r="D3" s="19" t="s">
        <v>361</v>
      </c>
      <c r="E3" s="19" t="s">
        <v>362</v>
      </c>
    </row>
    <row r="4" spans="1:5" x14ac:dyDescent="0.25">
      <c r="A4" s="9" t="s">
        <v>363</v>
      </c>
      <c r="B4" s="9" t="s">
        <v>364</v>
      </c>
      <c r="C4" s="9" t="s">
        <v>350</v>
      </c>
      <c r="D4" s="49">
        <v>150</v>
      </c>
      <c r="E4" s="9" t="s">
        <v>365</v>
      </c>
    </row>
    <row r="5" spans="1:5" x14ac:dyDescent="0.25">
      <c r="A5" s="9" t="s">
        <v>363</v>
      </c>
      <c r="B5" s="9" t="s">
        <v>366</v>
      </c>
      <c r="C5" s="9" t="s">
        <v>350</v>
      </c>
      <c r="D5" s="49">
        <v>100</v>
      </c>
      <c r="E5" s="9" t="s">
        <v>367</v>
      </c>
    </row>
    <row r="6" spans="1:5" x14ac:dyDescent="0.25">
      <c r="A6" s="9" t="s">
        <v>363</v>
      </c>
      <c r="B6" s="9" t="s">
        <v>368</v>
      </c>
      <c r="C6" s="9" t="s">
        <v>350</v>
      </c>
      <c r="D6" s="49">
        <v>10</v>
      </c>
      <c r="E6" s="9" t="s">
        <v>369</v>
      </c>
    </row>
    <row r="7" spans="1:5" x14ac:dyDescent="0.25">
      <c r="A7" s="9" t="s">
        <v>363</v>
      </c>
      <c r="B7" s="9" t="s">
        <v>370</v>
      </c>
      <c r="C7" s="9" t="s">
        <v>371</v>
      </c>
      <c r="D7" s="46">
        <v>1</v>
      </c>
      <c r="E7" s="9" t="s">
        <v>372</v>
      </c>
    </row>
    <row r="8" spans="1:5" x14ac:dyDescent="0.25">
      <c r="A8" s="9" t="s">
        <v>216</v>
      </c>
      <c r="B8" s="9" t="s">
        <v>373</v>
      </c>
      <c r="C8" s="9" t="s">
        <v>350</v>
      </c>
      <c r="D8" s="49">
        <v>25</v>
      </c>
      <c r="E8" s="9" t="s">
        <v>374</v>
      </c>
    </row>
    <row r="9" spans="1:5" x14ac:dyDescent="0.25">
      <c r="A9" s="9" t="s">
        <v>216</v>
      </c>
      <c r="B9" s="9" t="s">
        <v>375</v>
      </c>
      <c r="C9" s="9" t="s">
        <v>350</v>
      </c>
      <c r="D9" s="49">
        <v>10</v>
      </c>
      <c r="E9" s="9" t="s">
        <v>376</v>
      </c>
    </row>
    <row r="10" spans="1:5" x14ac:dyDescent="0.25">
      <c r="A10" s="9" t="s">
        <v>216</v>
      </c>
      <c r="B10" s="9" t="s">
        <v>370</v>
      </c>
      <c r="C10" s="9" t="s">
        <v>371</v>
      </c>
      <c r="D10" s="46">
        <v>2.5</v>
      </c>
      <c r="E10" s="9" t="s">
        <v>377</v>
      </c>
    </row>
    <row r="11" spans="1:5" x14ac:dyDescent="0.25">
      <c r="A11" s="9" t="s">
        <v>216</v>
      </c>
      <c r="B11" s="9" t="s">
        <v>378</v>
      </c>
      <c r="C11" s="9" t="s">
        <v>340</v>
      </c>
      <c r="D11" s="47">
        <v>0.84</v>
      </c>
      <c r="E11" s="9"/>
    </row>
    <row r="12" spans="1:5" x14ac:dyDescent="0.25">
      <c r="A12" s="9" t="s">
        <v>216</v>
      </c>
      <c r="B12" s="9" t="s">
        <v>339</v>
      </c>
      <c r="C12" s="9" t="s">
        <v>340</v>
      </c>
      <c r="D12" s="47">
        <v>0.08</v>
      </c>
      <c r="E12" s="9"/>
    </row>
    <row r="13" spans="1:5" x14ac:dyDescent="0.25">
      <c r="A13" s="9" t="s">
        <v>216</v>
      </c>
      <c r="B13" s="9" t="s">
        <v>379</v>
      </c>
      <c r="C13" s="9" t="s">
        <v>340</v>
      </c>
      <c r="D13" s="48">
        <f>1-D11-D12</f>
        <v>8.0000000000000029E-2</v>
      </c>
      <c r="E13" s="9" t="s">
        <v>380</v>
      </c>
    </row>
    <row r="14" spans="1:5" x14ac:dyDescent="0.25">
      <c r="A14" s="9" t="s">
        <v>217</v>
      </c>
      <c r="B14" s="9" t="s">
        <v>373</v>
      </c>
      <c r="C14" s="9" t="s">
        <v>350</v>
      </c>
      <c r="D14" s="49">
        <v>35</v>
      </c>
      <c r="E14" s="9" t="s">
        <v>381</v>
      </c>
    </row>
    <row r="15" spans="1:5" x14ac:dyDescent="0.25">
      <c r="A15" s="9" t="s">
        <v>217</v>
      </c>
      <c r="B15" s="9" t="s">
        <v>375</v>
      </c>
      <c r="C15" s="9" t="s">
        <v>350</v>
      </c>
      <c r="D15" s="49">
        <v>15</v>
      </c>
      <c r="E15" s="9" t="s">
        <v>376</v>
      </c>
    </row>
    <row r="16" spans="1:5" x14ac:dyDescent="0.25">
      <c r="A16" s="9" t="s">
        <v>217</v>
      </c>
      <c r="B16" s="9" t="s">
        <v>370</v>
      </c>
      <c r="C16" s="9" t="s">
        <v>371</v>
      </c>
      <c r="D16" s="46">
        <v>4</v>
      </c>
      <c r="E16" s="9" t="s">
        <v>382</v>
      </c>
    </row>
    <row r="17" spans="1:5" x14ac:dyDescent="0.25">
      <c r="A17" s="9" t="s">
        <v>217</v>
      </c>
      <c r="B17" s="9" t="s">
        <v>383</v>
      </c>
      <c r="C17" s="9" t="s">
        <v>340</v>
      </c>
      <c r="D17" s="47">
        <v>0.52</v>
      </c>
      <c r="E17" s="9"/>
    </row>
    <row r="18" spans="1:5" x14ac:dyDescent="0.25">
      <c r="A18" s="9" t="s">
        <v>217</v>
      </c>
      <c r="B18" s="9" t="s">
        <v>339</v>
      </c>
      <c r="C18" s="9" t="s">
        <v>340</v>
      </c>
      <c r="D18" s="47">
        <v>0.18</v>
      </c>
      <c r="E18" s="9"/>
    </row>
    <row r="19" spans="1:5" x14ac:dyDescent="0.25">
      <c r="A19" s="9" t="s">
        <v>217</v>
      </c>
      <c r="B19" s="9" t="s">
        <v>384</v>
      </c>
      <c r="C19" s="9" t="s">
        <v>340</v>
      </c>
      <c r="D19" s="47">
        <v>0.18</v>
      </c>
      <c r="E19" s="9" t="s">
        <v>385</v>
      </c>
    </row>
    <row r="20" spans="1:5" x14ac:dyDescent="0.25">
      <c r="A20" s="9" t="s">
        <v>217</v>
      </c>
      <c r="B20" s="9" t="s">
        <v>386</v>
      </c>
      <c r="C20" s="9" t="s">
        <v>340</v>
      </c>
      <c r="D20" s="47">
        <v>0.06</v>
      </c>
      <c r="E20" s="9" t="s">
        <v>387</v>
      </c>
    </row>
    <row r="21" spans="1:5" x14ac:dyDescent="0.25">
      <c r="A21" s="9" t="s">
        <v>217</v>
      </c>
      <c r="B21" s="9" t="s">
        <v>388</v>
      </c>
      <c r="C21" s="9" t="s">
        <v>340</v>
      </c>
      <c r="D21" s="48">
        <f>1-SUM(D17:D20)</f>
        <v>6.0000000000000053E-2</v>
      </c>
      <c r="E21" s="9" t="s">
        <v>389</v>
      </c>
    </row>
    <row r="22" spans="1:5" x14ac:dyDescent="0.25">
      <c r="A22" s="9" t="s">
        <v>218</v>
      </c>
      <c r="B22" s="9" t="s">
        <v>373</v>
      </c>
      <c r="C22" s="9" t="s">
        <v>350</v>
      </c>
      <c r="D22" s="49">
        <v>48</v>
      </c>
      <c r="E22" s="9" t="s">
        <v>390</v>
      </c>
    </row>
    <row r="23" spans="1:5" x14ac:dyDescent="0.25">
      <c r="A23" s="9" t="s">
        <v>218</v>
      </c>
      <c r="B23" s="9" t="s">
        <v>375</v>
      </c>
      <c r="C23" s="9" t="s">
        <v>350</v>
      </c>
      <c r="D23" s="49">
        <v>20</v>
      </c>
      <c r="E23" s="9" t="s">
        <v>376</v>
      </c>
    </row>
    <row r="24" spans="1:5" x14ac:dyDescent="0.25">
      <c r="A24" s="9" t="s">
        <v>218</v>
      </c>
      <c r="B24" s="9" t="s">
        <v>370</v>
      </c>
      <c r="C24" s="9" t="s">
        <v>371</v>
      </c>
      <c r="D24" s="46">
        <v>1.5</v>
      </c>
      <c r="E24" s="9" t="s">
        <v>391</v>
      </c>
    </row>
    <row r="25" spans="1:5" x14ac:dyDescent="0.25">
      <c r="A25" s="9" t="s">
        <v>218</v>
      </c>
      <c r="B25" s="9" t="s">
        <v>392</v>
      </c>
      <c r="C25" s="9" t="s">
        <v>340</v>
      </c>
      <c r="D25" s="47">
        <v>0.98</v>
      </c>
      <c r="E25" s="9"/>
    </row>
    <row r="26" spans="1:5" x14ac:dyDescent="0.25">
      <c r="A26" s="9" t="s">
        <v>393</v>
      </c>
      <c r="B26" s="9" t="s">
        <v>394</v>
      </c>
      <c r="C26" s="9" t="s">
        <v>395</v>
      </c>
      <c r="D26" s="49">
        <v>98</v>
      </c>
      <c r="E26" s="9"/>
    </row>
    <row r="27" spans="1:5" x14ac:dyDescent="0.25">
      <c r="A27" s="9" t="s">
        <v>393</v>
      </c>
      <c r="B27" s="9" t="s">
        <v>396</v>
      </c>
      <c r="C27" s="9" t="s">
        <v>395</v>
      </c>
      <c r="D27" s="49">
        <v>92</v>
      </c>
      <c r="E27" s="9"/>
    </row>
    <row r="28" spans="1:5" x14ac:dyDescent="0.25">
      <c r="A28" s="9" t="s">
        <v>393</v>
      </c>
      <c r="B28" s="9" t="s">
        <v>397</v>
      </c>
      <c r="C28" s="9" t="s">
        <v>395</v>
      </c>
      <c r="D28" s="49">
        <v>95</v>
      </c>
      <c r="E28" s="9" t="s">
        <v>398</v>
      </c>
    </row>
    <row r="29" spans="1:5" x14ac:dyDescent="0.25">
      <c r="A29" s="9" t="s">
        <v>393</v>
      </c>
      <c r="B29" s="9" t="s">
        <v>399</v>
      </c>
      <c r="C29" s="9" t="s">
        <v>348</v>
      </c>
      <c r="D29" s="46">
        <v>1.5</v>
      </c>
      <c r="E29" s="9" t="s">
        <v>400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showGridLines="0" zoomScaleNormal="100" workbookViewId="0">
      <selection activeCell="H35" sqref="H35"/>
    </sheetView>
  </sheetViews>
  <sheetFormatPr defaultColWidth="8.7109375" defaultRowHeight="15" customHeight="1" x14ac:dyDescent="0.25"/>
  <cols>
    <col min="1" max="1" width="26" customWidth="1"/>
    <col min="2" max="2" width="8" customWidth="1"/>
    <col min="3" max="8" width="17" customWidth="1"/>
  </cols>
  <sheetData>
    <row r="1" spans="1:8" ht="18" x14ac:dyDescent="0.25">
      <c r="A1" s="3" t="s">
        <v>401</v>
      </c>
    </row>
    <row r="2" spans="1:8" x14ac:dyDescent="0.25">
      <c r="A2" s="4" t="s">
        <v>402</v>
      </c>
    </row>
    <row r="3" spans="1:8" x14ac:dyDescent="0.25">
      <c r="A3" s="19" t="s">
        <v>335</v>
      </c>
      <c r="B3" s="19" t="s">
        <v>336</v>
      </c>
      <c r="C3" s="19" t="s">
        <v>245</v>
      </c>
      <c r="D3" s="19" t="s">
        <v>246</v>
      </c>
      <c r="E3" s="19" t="s">
        <v>247</v>
      </c>
      <c r="F3" s="19" t="s">
        <v>248</v>
      </c>
      <c r="G3" s="19" t="s">
        <v>249</v>
      </c>
      <c r="H3" s="19" t="s">
        <v>250</v>
      </c>
    </row>
    <row r="4" spans="1:8" x14ac:dyDescent="0.25">
      <c r="A4" s="9" t="s">
        <v>403</v>
      </c>
      <c r="B4" s="9" t="s">
        <v>338</v>
      </c>
      <c r="C4" s="46">
        <v>60</v>
      </c>
      <c r="D4" s="46">
        <v>74</v>
      </c>
      <c r="E4" s="46">
        <v>99</v>
      </c>
      <c r="F4" s="46">
        <v>103</v>
      </c>
      <c r="G4" s="46">
        <v>105</v>
      </c>
      <c r="H4" s="46">
        <v>72</v>
      </c>
    </row>
    <row r="5" spans="1:8" x14ac:dyDescent="0.25">
      <c r="A5" s="9" t="s">
        <v>352</v>
      </c>
      <c r="B5" s="9" t="s">
        <v>187</v>
      </c>
      <c r="C5" s="5" t="s">
        <v>286</v>
      </c>
      <c r="D5" s="5" t="s">
        <v>288</v>
      </c>
      <c r="E5" s="5" t="s">
        <v>289</v>
      </c>
      <c r="F5" s="5" t="s">
        <v>290</v>
      </c>
      <c r="G5" s="5" t="s">
        <v>291</v>
      </c>
      <c r="H5" s="5" t="s">
        <v>292</v>
      </c>
    </row>
    <row r="6" spans="1:8" ht="42" customHeight="1" x14ac:dyDescent="0.25">
      <c r="A6" s="9" t="s">
        <v>404</v>
      </c>
      <c r="B6" s="9" t="s">
        <v>187</v>
      </c>
      <c r="C6" s="13" t="s">
        <v>405</v>
      </c>
      <c r="D6" s="13" t="s">
        <v>406</v>
      </c>
      <c r="E6" s="13" t="s">
        <v>407</v>
      </c>
      <c r="F6" s="13" t="s">
        <v>408</v>
      </c>
      <c r="G6" s="13" t="s">
        <v>409</v>
      </c>
      <c r="H6" s="13" t="s">
        <v>410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showGridLines="0" zoomScaleNormal="100" workbookViewId="0">
      <selection activeCell="G4" sqref="G4"/>
    </sheetView>
  </sheetViews>
  <sheetFormatPr defaultColWidth="8.7109375" defaultRowHeight="15" customHeight="1" x14ac:dyDescent="0.25"/>
  <cols>
    <col min="1" max="1" width="10" customWidth="1"/>
    <col min="2" max="2" width="14" customWidth="1"/>
    <col min="3" max="3" width="10" customWidth="1"/>
    <col min="4" max="4" width="14" customWidth="1"/>
    <col min="5" max="5" width="12" customWidth="1"/>
    <col min="6" max="6" width="14" customWidth="1"/>
    <col min="7" max="7" width="16" customWidth="1"/>
    <col min="8" max="8" width="32" customWidth="1"/>
  </cols>
  <sheetData>
    <row r="1" spans="1:8" ht="18" x14ac:dyDescent="0.25">
      <c r="A1" s="3" t="s">
        <v>411</v>
      </c>
    </row>
    <row r="2" spans="1:8" x14ac:dyDescent="0.25">
      <c r="A2" s="4" t="s">
        <v>412</v>
      </c>
    </row>
    <row r="3" spans="1:8" ht="42" customHeight="1" x14ac:dyDescent="0.25">
      <c r="A3" s="19" t="s">
        <v>268</v>
      </c>
      <c r="B3" s="19" t="s">
        <v>269</v>
      </c>
      <c r="C3" s="19" t="s">
        <v>115</v>
      </c>
      <c r="D3" s="19" t="s">
        <v>413</v>
      </c>
      <c r="E3" s="19" t="s">
        <v>414</v>
      </c>
      <c r="F3" s="19" t="s">
        <v>415</v>
      </c>
      <c r="G3" s="19" t="s">
        <v>416</v>
      </c>
      <c r="H3" s="19" t="s">
        <v>353</v>
      </c>
    </row>
    <row r="4" spans="1:8" x14ac:dyDescent="0.25">
      <c r="A4" s="9" t="s">
        <v>277</v>
      </c>
      <c r="B4" s="9" t="s">
        <v>278</v>
      </c>
      <c r="C4" s="9" t="s">
        <v>279</v>
      </c>
      <c r="D4" s="49">
        <v>1500</v>
      </c>
      <c r="E4" s="49">
        <v>150</v>
      </c>
      <c r="F4" s="49">
        <v>700</v>
      </c>
      <c r="G4" s="49">
        <v>400</v>
      </c>
      <c r="H4" s="9" t="s">
        <v>417</v>
      </c>
    </row>
    <row r="5" spans="1:8" x14ac:dyDescent="0.25">
      <c r="A5" s="9" t="s">
        <v>280</v>
      </c>
      <c r="B5" s="9" t="s">
        <v>281</v>
      </c>
      <c r="C5" s="9" t="s">
        <v>279</v>
      </c>
      <c r="D5" s="49">
        <v>1000</v>
      </c>
      <c r="E5" s="49">
        <v>100</v>
      </c>
      <c r="F5" s="49">
        <v>500</v>
      </c>
      <c r="G5" s="49">
        <v>250</v>
      </c>
      <c r="H5" s="9" t="s">
        <v>417</v>
      </c>
    </row>
    <row r="6" spans="1:8" x14ac:dyDescent="0.25">
      <c r="A6" s="9" t="s">
        <v>282</v>
      </c>
      <c r="B6" s="9" t="s">
        <v>283</v>
      </c>
      <c r="C6" s="9" t="s">
        <v>279</v>
      </c>
      <c r="D6" s="49">
        <v>900</v>
      </c>
      <c r="E6" s="49">
        <v>90</v>
      </c>
      <c r="F6" s="49">
        <v>450</v>
      </c>
      <c r="G6" s="49">
        <v>250</v>
      </c>
      <c r="H6" s="9" t="s">
        <v>417</v>
      </c>
    </row>
    <row r="7" spans="1:8" x14ac:dyDescent="0.25">
      <c r="A7" s="9" t="s">
        <v>284</v>
      </c>
      <c r="B7" s="9" t="s">
        <v>285</v>
      </c>
      <c r="C7" s="9" t="s">
        <v>279</v>
      </c>
      <c r="D7" s="49">
        <v>800</v>
      </c>
      <c r="E7" s="49">
        <v>80</v>
      </c>
      <c r="F7" s="49">
        <v>380</v>
      </c>
      <c r="G7" s="49">
        <v>150</v>
      </c>
      <c r="H7" s="9" t="s">
        <v>417</v>
      </c>
    </row>
    <row r="8" spans="1:8" x14ac:dyDescent="0.25">
      <c r="A8" s="9" t="s">
        <v>286</v>
      </c>
      <c r="B8" s="9" t="s">
        <v>245</v>
      </c>
      <c r="C8" s="9" t="s">
        <v>287</v>
      </c>
      <c r="D8" s="49">
        <v>60</v>
      </c>
      <c r="E8" s="49">
        <v>6</v>
      </c>
      <c r="F8" s="49">
        <v>30</v>
      </c>
      <c r="G8" s="49">
        <v>20</v>
      </c>
      <c r="H8" s="9" t="s">
        <v>418</v>
      </c>
    </row>
    <row r="9" spans="1:8" x14ac:dyDescent="0.25">
      <c r="A9" s="9" t="s">
        <v>288</v>
      </c>
      <c r="B9" s="9" t="s">
        <v>246</v>
      </c>
      <c r="C9" s="9" t="s">
        <v>287</v>
      </c>
      <c r="D9" s="49">
        <v>250</v>
      </c>
      <c r="E9" s="49">
        <v>25</v>
      </c>
      <c r="F9" s="49">
        <v>110</v>
      </c>
      <c r="G9" s="49">
        <v>50</v>
      </c>
      <c r="H9" s="9" t="s">
        <v>418</v>
      </c>
    </row>
    <row r="10" spans="1:8" x14ac:dyDescent="0.25">
      <c r="A10" s="9" t="s">
        <v>289</v>
      </c>
      <c r="B10" s="9" t="s">
        <v>247</v>
      </c>
      <c r="C10" s="9" t="s">
        <v>287</v>
      </c>
      <c r="D10" s="49">
        <v>400</v>
      </c>
      <c r="E10" s="49">
        <v>40</v>
      </c>
      <c r="F10" s="49">
        <v>180</v>
      </c>
      <c r="G10" s="49">
        <v>150</v>
      </c>
      <c r="H10" s="9" t="s">
        <v>418</v>
      </c>
    </row>
    <row r="11" spans="1:8" x14ac:dyDescent="0.25">
      <c r="A11" s="9" t="s">
        <v>290</v>
      </c>
      <c r="B11" s="9" t="s">
        <v>248</v>
      </c>
      <c r="C11" s="9" t="s">
        <v>287</v>
      </c>
      <c r="D11" s="49">
        <v>300</v>
      </c>
      <c r="E11" s="49">
        <v>30</v>
      </c>
      <c r="F11" s="49">
        <v>140</v>
      </c>
      <c r="G11" s="49">
        <v>100</v>
      </c>
      <c r="H11" s="9" t="s">
        <v>418</v>
      </c>
    </row>
    <row r="12" spans="1:8" x14ac:dyDescent="0.25">
      <c r="A12" s="9" t="s">
        <v>291</v>
      </c>
      <c r="B12" s="9" t="s">
        <v>249</v>
      </c>
      <c r="C12" s="9" t="s">
        <v>287</v>
      </c>
      <c r="D12" s="49">
        <v>500</v>
      </c>
      <c r="E12" s="49">
        <v>50</v>
      </c>
      <c r="F12" s="49">
        <v>230</v>
      </c>
      <c r="G12" s="49">
        <v>180</v>
      </c>
      <c r="H12" s="9" t="s">
        <v>418</v>
      </c>
    </row>
    <row r="13" spans="1:8" x14ac:dyDescent="0.25">
      <c r="A13" s="9" t="s">
        <v>292</v>
      </c>
      <c r="B13" s="9" t="s">
        <v>250</v>
      </c>
      <c r="C13" s="9" t="s">
        <v>287</v>
      </c>
      <c r="D13" s="49">
        <v>400</v>
      </c>
      <c r="E13" s="49">
        <v>40</v>
      </c>
      <c r="F13" s="49">
        <v>180</v>
      </c>
      <c r="G13" s="49">
        <v>100</v>
      </c>
      <c r="H13" s="9" t="s">
        <v>418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customHeight="1" x14ac:dyDescent="0.25"/>
  <cols>
    <col min="1" max="1" width="6" customWidth="1"/>
    <col min="2" max="2" width="11" customWidth="1"/>
    <col min="3" max="6" width="14" customWidth="1"/>
  </cols>
  <sheetData>
    <row r="1" spans="1:6" ht="18" x14ac:dyDescent="0.25">
      <c r="A1" s="3" t="s">
        <v>419</v>
      </c>
    </row>
    <row r="2" spans="1:6" x14ac:dyDescent="0.25">
      <c r="A2" s="4" t="s">
        <v>420</v>
      </c>
    </row>
    <row r="4" spans="1:6" x14ac:dyDescent="0.25">
      <c r="A4" s="19" t="s">
        <v>222</v>
      </c>
      <c r="B4" s="19" t="s">
        <v>223</v>
      </c>
      <c r="C4" s="19" t="s">
        <v>278</v>
      </c>
      <c r="D4" s="19" t="s">
        <v>281</v>
      </c>
      <c r="E4" s="19" t="s">
        <v>283</v>
      </c>
      <c r="F4" s="19" t="s">
        <v>285</v>
      </c>
    </row>
    <row r="5" spans="1:6" x14ac:dyDescent="0.25">
      <c r="A5" s="9">
        <v>1</v>
      </c>
      <c r="B5" s="20">
        <v>46296</v>
      </c>
      <c r="C5" s="49">
        <v>0</v>
      </c>
      <c r="D5" s="49">
        <v>0</v>
      </c>
      <c r="E5" s="49">
        <v>0</v>
      </c>
      <c r="F5" s="49">
        <v>0</v>
      </c>
    </row>
    <row r="6" spans="1:6" x14ac:dyDescent="0.25">
      <c r="A6" s="9">
        <v>2</v>
      </c>
      <c r="B6" s="20">
        <v>46297</v>
      </c>
      <c r="C6" s="49">
        <v>0</v>
      </c>
      <c r="D6" s="49">
        <v>0</v>
      </c>
      <c r="E6" s="49">
        <v>0</v>
      </c>
      <c r="F6" s="49">
        <v>0</v>
      </c>
    </row>
    <row r="7" spans="1:6" x14ac:dyDescent="0.25">
      <c r="A7" s="9">
        <v>3</v>
      </c>
      <c r="B7" s="20">
        <v>46298</v>
      </c>
      <c r="C7" s="49">
        <v>0</v>
      </c>
      <c r="D7" s="49">
        <v>0</v>
      </c>
      <c r="E7" s="49">
        <v>0</v>
      </c>
      <c r="F7" s="49">
        <v>0</v>
      </c>
    </row>
    <row r="8" spans="1:6" x14ac:dyDescent="0.25">
      <c r="A8" s="9">
        <v>4</v>
      </c>
      <c r="B8" s="20">
        <v>46299</v>
      </c>
      <c r="C8" s="49">
        <v>0</v>
      </c>
      <c r="D8" s="49">
        <v>0</v>
      </c>
      <c r="E8" s="49">
        <v>0</v>
      </c>
      <c r="F8" s="49">
        <v>0</v>
      </c>
    </row>
    <row r="9" spans="1:6" x14ac:dyDescent="0.25">
      <c r="A9" s="9">
        <v>5</v>
      </c>
      <c r="B9" s="20">
        <v>46300</v>
      </c>
      <c r="C9" s="49">
        <v>0</v>
      </c>
      <c r="D9" s="49">
        <v>500</v>
      </c>
      <c r="E9" s="49">
        <v>0</v>
      </c>
      <c r="F9" s="49">
        <v>0</v>
      </c>
    </row>
    <row r="10" spans="1:6" x14ac:dyDescent="0.25">
      <c r="A10" s="9">
        <v>6</v>
      </c>
      <c r="B10" s="20">
        <v>46301</v>
      </c>
      <c r="C10" s="49">
        <v>0</v>
      </c>
      <c r="D10" s="49">
        <v>0</v>
      </c>
      <c r="E10" s="49">
        <v>400</v>
      </c>
      <c r="F10" s="49">
        <v>0</v>
      </c>
    </row>
    <row r="11" spans="1:6" x14ac:dyDescent="0.25">
      <c r="A11" s="9">
        <v>7</v>
      </c>
      <c r="B11" s="20">
        <v>46302</v>
      </c>
      <c r="C11" s="49">
        <v>0</v>
      </c>
      <c r="D11" s="49">
        <v>0</v>
      </c>
      <c r="E11" s="49">
        <v>0</v>
      </c>
      <c r="F11" s="49">
        <v>0</v>
      </c>
    </row>
    <row r="12" spans="1:6" x14ac:dyDescent="0.25">
      <c r="A12" s="9">
        <v>8</v>
      </c>
      <c r="B12" s="20">
        <v>46303</v>
      </c>
      <c r="C12" s="49">
        <v>600</v>
      </c>
      <c r="D12" s="49">
        <v>0</v>
      </c>
      <c r="E12" s="49">
        <v>0</v>
      </c>
      <c r="F12" s="49">
        <v>0</v>
      </c>
    </row>
    <row r="13" spans="1:6" x14ac:dyDescent="0.25">
      <c r="A13" s="9">
        <v>9</v>
      </c>
      <c r="B13" s="20">
        <v>46304</v>
      </c>
      <c r="C13" s="49">
        <v>0</v>
      </c>
      <c r="D13" s="49">
        <v>0</v>
      </c>
      <c r="E13" s="49">
        <v>0</v>
      </c>
      <c r="F13" s="49">
        <v>0</v>
      </c>
    </row>
    <row r="14" spans="1:6" x14ac:dyDescent="0.25">
      <c r="A14" s="9">
        <v>10</v>
      </c>
      <c r="B14" s="20">
        <v>46305</v>
      </c>
      <c r="C14" s="49">
        <v>0</v>
      </c>
      <c r="D14" s="49">
        <v>0</v>
      </c>
      <c r="E14" s="49">
        <v>0</v>
      </c>
      <c r="F14" s="49">
        <v>350</v>
      </c>
    </row>
    <row r="15" spans="1:6" x14ac:dyDescent="0.25">
      <c r="A15" s="9">
        <v>11</v>
      </c>
      <c r="B15" s="20">
        <v>46306</v>
      </c>
      <c r="C15" s="49">
        <v>0</v>
      </c>
      <c r="D15" s="49">
        <v>0</v>
      </c>
      <c r="E15" s="49">
        <v>0</v>
      </c>
      <c r="F15" s="49">
        <v>0</v>
      </c>
    </row>
    <row r="16" spans="1:6" x14ac:dyDescent="0.25">
      <c r="A16" s="9">
        <v>12</v>
      </c>
      <c r="B16" s="20">
        <v>46307</v>
      </c>
      <c r="C16" s="49">
        <v>0</v>
      </c>
      <c r="D16" s="49">
        <v>0</v>
      </c>
      <c r="E16" s="49">
        <v>0</v>
      </c>
      <c r="F16" s="49">
        <v>0</v>
      </c>
    </row>
    <row r="17" spans="1:6" x14ac:dyDescent="0.25">
      <c r="A17" s="9">
        <v>13</v>
      </c>
      <c r="B17" s="20">
        <v>46308</v>
      </c>
      <c r="C17" s="49">
        <v>0</v>
      </c>
      <c r="D17" s="49">
        <v>0</v>
      </c>
      <c r="E17" s="49">
        <v>0</v>
      </c>
      <c r="F17" s="49">
        <v>0</v>
      </c>
    </row>
    <row r="18" spans="1:6" x14ac:dyDescent="0.25">
      <c r="A18" s="9">
        <v>14</v>
      </c>
      <c r="B18" s="20">
        <v>46309</v>
      </c>
      <c r="C18" s="49">
        <v>0</v>
      </c>
      <c r="D18" s="49">
        <v>0</v>
      </c>
      <c r="E18" s="49">
        <v>0</v>
      </c>
      <c r="F18" s="49">
        <v>0</v>
      </c>
    </row>
    <row r="19" spans="1:6" x14ac:dyDescent="0.25">
      <c r="A19" s="9">
        <v>15</v>
      </c>
      <c r="B19" s="20">
        <v>46310</v>
      </c>
      <c r="C19" s="49">
        <v>0</v>
      </c>
      <c r="D19" s="49">
        <v>0</v>
      </c>
      <c r="E19" s="49">
        <v>0</v>
      </c>
      <c r="F19" s="49">
        <v>0</v>
      </c>
    </row>
    <row r="20" spans="1:6" x14ac:dyDescent="0.25">
      <c r="A20" s="9">
        <v>16</v>
      </c>
      <c r="B20" s="20">
        <v>46311</v>
      </c>
      <c r="C20" s="49">
        <v>0</v>
      </c>
      <c r="D20" s="49">
        <v>0</v>
      </c>
      <c r="E20" s="49">
        <v>400</v>
      </c>
      <c r="F20" s="49">
        <v>0</v>
      </c>
    </row>
    <row r="21" spans="1:6" x14ac:dyDescent="0.25">
      <c r="A21" s="9">
        <v>17</v>
      </c>
      <c r="B21" s="20">
        <v>46312</v>
      </c>
      <c r="C21" s="49">
        <v>0</v>
      </c>
      <c r="D21" s="49">
        <v>0</v>
      </c>
      <c r="E21" s="49">
        <v>0</v>
      </c>
      <c r="F21" s="49">
        <v>0</v>
      </c>
    </row>
    <row r="22" spans="1:6" x14ac:dyDescent="0.25">
      <c r="A22" s="9">
        <v>18</v>
      </c>
      <c r="B22" s="20">
        <v>46313</v>
      </c>
      <c r="C22" s="49">
        <v>0</v>
      </c>
      <c r="D22" s="49">
        <v>0</v>
      </c>
      <c r="E22" s="49">
        <v>0</v>
      </c>
      <c r="F22" s="49">
        <v>0</v>
      </c>
    </row>
    <row r="23" spans="1:6" x14ac:dyDescent="0.25">
      <c r="A23" s="9">
        <v>19</v>
      </c>
      <c r="B23" s="20">
        <v>46314</v>
      </c>
      <c r="C23" s="49">
        <v>0</v>
      </c>
      <c r="D23" s="49">
        <v>500</v>
      </c>
      <c r="E23" s="49">
        <v>0</v>
      </c>
      <c r="F23" s="49">
        <v>0</v>
      </c>
    </row>
    <row r="24" spans="1:6" x14ac:dyDescent="0.25">
      <c r="A24" s="9">
        <v>20</v>
      </c>
      <c r="B24" s="20">
        <v>46315</v>
      </c>
      <c r="C24" s="49">
        <v>0</v>
      </c>
      <c r="D24" s="49">
        <v>0</v>
      </c>
      <c r="E24" s="49">
        <v>0</v>
      </c>
      <c r="F24" s="49">
        <v>0</v>
      </c>
    </row>
    <row r="25" spans="1:6" x14ac:dyDescent="0.25">
      <c r="A25" s="9">
        <v>21</v>
      </c>
      <c r="B25" s="20">
        <v>46316</v>
      </c>
      <c r="C25" s="49">
        <v>0</v>
      </c>
      <c r="D25" s="49">
        <v>0</v>
      </c>
      <c r="E25" s="49">
        <v>0</v>
      </c>
      <c r="F25" s="49">
        <v>0</v>
      </c>
    </row>
    <row r="26" spans="1:6" x14ac:dyDescent="0.25">
      <c r="A26" s="9">
        <v>22</v>
      </c>
      <c r="B26" s="20">
        <v>46317</v>
      </c>
      <c r="C26" s="49">
        <v>500</v>
      </c>
      <c r="D26" s="49">
        <v>0</v>
      </c>
      <c r="E26" s="49">
        <v>0</v>
      </c>
      <c r="F26" s="49">
        <v>350</v>
      </c>
    </row>
    <row r="27" spans="1:6" x14ac:dyDescent="0.25">
      <c r="A27" s="9">
        <v>23</v>
      </c>
      <c r="B27" s="20">
        <v>46318</v>
      </c>
      <c r="C27" s="49">
        <v>0</v>
      </c>
      <c r="D27" s="49">
        <v>0</v>
      </c>
      <c r="E27" s="49">
        <v>0</v>
      </c>
      <c r="F27" s="49">
        <v>0</v>
      </c>
    </row>
    <row r="28" spans="1:6" x14ac:dyDescent="0.25">
      <c r="A28" s="9">
        <v>24</v>
      </c>
      <c r="B28" s="20">
        <v>46319</v>
      </c>
      <c r="C28" s="49">
        <v>0</v>
      </c>
      <c r="D28" s="49">
        <v>0</v>
      </c>
      <c r="E28" s="49">
        <v>0</v>
      </c>
      <c r="F28" s="49">
        <v>0</v>
      </c>
    </row>
    <row r="29" spans="1:6" x14ac:dyDescent="0.25">
      <c r="A29" s="9">
        <v>25</v>
      </c>
      <c r="B29" s="20">
        <v>46320</v>
      </c>
      <c r="C29" s="49">
        <v>0</v>
      </c>
      <c r="D29" s="49">
        <v>0</v>
      </c>
      <c r="E29" s="49">
        <v>0</v>
      </c>
      <c r="F29" s="49">
        <v>0</v>
      </c>
    </row>
    <row r="30" spans="1:6" x14ac:dyDescent="0.25">
      <c r="A30" s="9">
        <v>26</v>
      </c>
      <c r="B30" s="20">
        <v>46321</v>
      </c>
      <c r="C30" s="49">
        <v>0</v>
      </c>
      <c r="D30" s="49">
        <v>0</v>
      </c>
      <c r="E30" s="49">
        <v>400</v>
      </c>
      <c r="F30" s="49">
        <v>0</v>
      </c>
    </row>
    <row r="31" spans="1:6" x14ac:dyDescent="0.25">
      <c r="A31" s="9">
        <v>27</v>
      </c>
      <c r="B31" s="20">
        <v>46322</v>
      </c>
      <c r="C31" s="49">
        <v>0</v>
      </c>
      <c r="D31" s="49">
        <v>0</v>
      </c>
      <c r="E31" s="49">
        <v>0</v>
      </c>
      <c r="F31" s="49">
        <v>0</v>
      </c>
    </row>
    <row r="32" spans="1:6" x14ac:dyDescent="0.25">
      <c r="A32" s="9">
        <v>28</v>
      </c>
      <c r="B32" s="20">
        <v>46323</v>
      </c>
      <c r="C32" s="49">
        <v>0</v>
      </c>
      <c r="D32" s="49">
        <v>0</v>
      </c>
      <c r="E32" s="49">
        <v>0</v>
      </c>
      <c r="F32" s="49">
        <v>0</v>
      </c>
    </row>
    <row r="33" spans="1:6" x14ac:dyDescent="0.25">
      <c r="A33" s="9">
        <v>29</v>
      </c>
      <c r="B33" s="20">
        <v>46324</v>
      </c>
      <c r="C33" s="49">
        <v>0</v>
      </c>
      <c r="D33" s="49">
        <v>0</v>
      </c>
      <c r="E33" s="49">
        <v>0</v>
      </c>
      <c r="F33" s="49">
        <v>0</v>
      </c>
    </row>
    <row r="34" spans="1:6" x14ac:dyDescent="0.25">
      <c r="A34" s="9">
        <v>30</v>
      </c>
      <c r="B34" s="20">
        <v>46325</v>
      </c>
      <c r="C34" s="49">
        <v>0</v>
      </c>
      <c r="D34" s="49">
        <v>0</v>
      </c>
      <c r="E34" s="49">
        <v>0</v>
      </c>
      <c r="F34" s="49">
        <v>0</v>
      </c>
    </row>
    <row r="35" spans="1:6" x14ac:dyDescent="0.25">
      <c r="A35" s="9">
        <v>31</v>
      </c>
      <c r="B35" s="20">
        <v>46326</v>
      </c>
      <c r="C35" s="49">
        <v>0</v>
      </c>
      <c r="D35" s="49">
        <v>0</v>
      </c>
      <c r="E35" s="49">
        <v>0</v>
      </c>
      <c r="F35" s="49">
        <v>0</v>
      </c>
    </row>
    <row r="36" spans="1:6" x14ac:dyDescent="0.25">
      <c r="A36" s="27" t="s">
        <v>258</v>
      </c>
      <c r="B36" s="28"/>
      <c r="C36" s="29">
        <f>SUM(C5:C35)</f>
        <v>1100</v>
      </c>
      <c r="D36" s="29">
        <f>SUM(D5:D35)</f>
        <v>1000</v>
      </c>
      <c r="E36" s="29">
        <f>SUM(E5:E35)</f>
        <v>1200</v>
      </c>
      <c r="F36" s="29">
        <f>SUM(F5:F35)</f>
        <v>700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9" sqref="G9"/>
    </sheetView>
  </sheetViews>
  <sheetFormatPr defaultColWidth="8.7109375" defaultRowHeight="15" customHeight="1" x14ac:dyDescent="0.25"/>
  <cols>
    <col min="1" max="1" width="6" customWidth="1"/>
    <col min="2" max="2" width="11" customWidth="1"/>
    <col min="3" max="8" width="14" customWidth="1"/>
  </cols>
  <sheetData>
    <row r="1" spans="1:8" ht="18" x14ac:dyDescent="0.25">
      <c r="A1" s="3" t="s">
        <v>421</v>
      </c>
    </row>
    <row r="2" spans="1:8" x14ac:dyDescent="0.25">
      <c r="A2" s="4" t="s">
        <v>422</v>
      </c>
    </row>
    <row r="4" spans="1:8" x14ac:dyDescent="0.25">
      <c r="A4" s="19" t="s">
        <v>222</v>
      </c>
      <c r="B4" s="19" t="s">
        <v>223</v>
      </c>
      <c r="C4" s="19" t="s">
        <v>245</v>
      </c>
      <c r="D4" s="19" t="s">
        <v>246</v>
      </c>
      <c r="E4" s="19" t="s">
        <v>247</v>
      </c>
      <c r="F4" s="19" t="s">
        <v>248</v>
      </c>
      <c r="G4" s="19" t="s">
        <v>249</v>
      </c>
      <c r="H4" s="19" t="s">
        <v>250</v>
      </c>
    </row>
    <row r="5" spans="1:8" x14ac:dyDescent="0.25">
      <c r="A5" s="9">
        <v>1</v>
      </c>
      <c r="B5" s="20">
        <v>46296</v>
      </c>
      <c r="C5" s="49">
        <v>9</v>
      </c>
      <c r="D5" s="49">
        <v>0</v>
      </c>
      <c r="E5" s="49">
        <v>30</v>
      </c>
      <c r="F5" s="49">
        <v>18</v>
      </c>
      <c r="G5" s="49">
        <v>35</v>
      </c>
      <c r="H5" s="49">
        <v>0</v>
      </c>
    </row>
    <row r="6" spans="1:8" x14ac:dyDescent="0.25">
      <c r="A6" s="9">
        <v>2</v>
      </c>
      <c r="B6" s="20">
        <v>46297</v>
      </c>
      <c r="C6" s="49">
        <v>9</v>
      </c>
      <c r="D6" s="49">
        <v>0</v>
      </c>
      <c r="E6" s="49">
        <v>30</v>
      </c>
      <c r="F6" s="49">
        <v>18</v>
      </c>
      <c r="G6" s="49">
        <v>35</v>
      </c>
      <c r="H6" s="49">
        <v>0</v>
      </c>
    </row>
    <row r="7" spans="1:8" x14ac:dyDescent="0.25">
      <c r="A7" s="9">
        <v>3</v>
      </c>
      <c r="B7" s="20">
        <v>46298</v>
      </c>
      <c r="C7" s="49">
        <v>9</v>
      </c>
      <c r="D7" s="49">
        <v>0</v>
      </c>
      <c r="E7" s="49">
        <v>30</v>
      </c>
      <c r="F7" s="49">
        <v>18</v>
      </c>
      <c r="G7" s="49">
        <v>35</v>
      </c>
      <c r="H7" s="49">
        <v>0</v>
      </c>
    </row>
    <row r="8" spans="1:8" x14ac:dyDescent="0.25">
      <c r="A8" s="9">
        <v>4</v>
      </c>
      <c r="B8" s="20">
        <v>46299</v>
      </c>
      <c r="C8" s="49">
        <v>9</v>
      </c>
      <c r="D8" s="49">
        <v>0</v>
      </c>
      <c r="E8" s="49">
        <v>30</v>
      </c>
      <c r="F8" s="49">
        <v>18</v>
      </c>
      <c r="G8" s="49">
        <v>35</v>
      </c>
      <c r="H8" s="49">
        <v>0</v>
      </c>
    </row>
    <row r="9" spans="1:8" x14ac:dyDescent="0.25">
      <c r="A9" s="9">
        <v>5</v>
      </c>
      <c r="B9" s="20">
        <v>46300</v>
      </c>
      <c r="C9" s="49">
        <v>9</v>
      </c>
      <c r="D9" s="49">
        <v>0</v>
      </c>
      <c r="E9" s="49">
        <v>30</v>
      </c>
      <c r="F9" s="49">
        <v>18</v>
      </c>
      <c r="G9" s="49">
        <v>35</v>
      </c>
      <c r="H9" s="49">
        <v>0</v>
      </c>
    </row>
    <row r="10" spans="1:8" x14ac:dyDescent="0.25">
      <c r="A10" s="9">
        <v>6</v>
      </c>
      <c r="B10" s="20">
        <v>46301</v>
      </c>
      <c r="C10" s="49">
        <v>9</v>
      </c>
      <c r="D10" s="49">
        <v>0</v>
      </c>
      <c r="E10" s="49">
        <v>30</v>
      </c>
      <c r="F10" s="49">
        <v>18</v>
      </c>
      <c r="G10" s="49">
        <v>35</v>
      </c>
      <c r="H10" s="49">
        <v>200</v>
      </c>
    </row>
    <row r="11" spans="1:8" x14ac:dyDescent="0.25">
      <c r="A11" s="9">
        <v>7</v>
      </c>
      <c r="B11" s="20">
        <v>46302</v>
      </c>
      <c r="C11" s="49">
        <v>9</v>
      </c>
      <c r="D11" s="49">
        <v>0</v>
      </c>
      <c r="E11" s="49">
        <v>30</v>
      </c>
      <c r="F11" s="49">
        <v>103</v>
      </c>
      <c r="G11" s="49">
        <v>35</v>
      </c>
      <c r="H11" s="49">
        <v>0</v>
      </c>
    </row>
    <row r="12" spans="1:8" x14ac:dyDescent="0.25">
      <c r="A12" s="9">
        <v>8</v>
      </c>
      <c r="B12" s="20">
        <v>46303</v>
      </c>
      <c r="C12" s="49">
        <v>9</v>
      </c>
      <c r="D12" s="49">
        <v>0</v>
      </c>
      <c r="E12" s="49">
        <v>30</v>
      </c>
      <c r="F12" s="49">
        <v>18</v>
      </c>
      <c r="G12" s="49">
        <v>35</v>
      </c>
      <c r="H12" s="49">
        <v>0</v>
      </c>
    </row>
    <row r="13" spans="1:8" x14ac:dyDescent="0.25">
      <c r="A13" s="9">
        <v>9</v>
      </c>
      <c r="B13" s="20">
        <v>46304</v>
      </c>
      <c r="C13" s="49">
        <v>9</v>
      </c>
      <c r="D13" s="49">
        <v>100</v>
      </c>
      <c r="E13" s="49">
        <v>30</v>
      </c>
      <c r="F13" s="49">
        <v>18</v>
      </c>
      <c r="G13" s="49">
        <v>35</v>
      </c>
      <c r="H13" s="49">
        <v>0</v>
      </c>
    </row>
    <row r="14" spans="1:8" x14ac:dyDescent="0.25">
      <c r="A14" s="9">
        <v>10</v>
      </c>
      <c r="B14" s="20">
        <v>46305</v>
      </c>
      <c r="C14" s="49">
        <v>39</v>
      </c>
      <c r="D14" s="49">
        <v>0</v>
      </c>
      <c r="E14" s="49">
        <v>30</v>
      </c>
      <c r="F14" s="49">
        <v>18</v>
      </c>
      <c r="G14" s="49">
        <v>35</v>
      </c>
      <c r="H14" s="49">
        <v>0</v>
      </c>
    </row>
    <row r="15" spans="1:8" x14ac:dyDescent="0.25">
      <c r="A15" s="9">
        <v>11</v>
      </c>
      <c r="B15" s="20">
        <v>46306</v>
      </c>
      <c r="C15" s="49">
        <v>9</v>
      </c>
      <c r="D15" s="49">
        <v>0</v>
      </c>
      <c r="E15" s="49">
        <v>30</v>
      </c>
      <c r="F15" s="49">
        <v>18</v>
      </c>
      <c r="G15" s="49">
        <v>175</v>
      </c>
      <c r="H15" s="49">
        <v>0</v>
      </c>
    </row>
    <row r="16" spans="1:8" x14ac:dyDescent="0.25">
      <c r="A16" s="9">
        <v>12</v>
      </c>
      <c r="B16" s="20">
        <v>46307</v>
      </c>
      <c r="C16" s="49">
        <v>9</v>
      </c>
      <c r="D16" s="49">
        <v>0</v>
      </c>
      <c r="E16" s="49">
        <v>110</v>
      </c>
      <c r="F16" s="49">
        <v>18</v>
      </c>
      <c r="G16" s="49">
        <v>35</v>
      </c>
      <c r="H16" s="49">
        <v>0</v>
      </c>
    </row>
    <row r="17" spans="1:8" x14ac:dyDescent="0.25">
      <c r="A17" s="9">
        <v>13</v>
      </c>
      <c r="B17" s="20">
        <v>46308</v>
      </c>
      <c r="C17" s="49">
        <v>9</v>
      </c>
      <c r="D17" s="49">
        <v>0</v>
      </c>
      <c r="E17" s="49">
        <v>30</v>
      </c>
      <c r="F17" s="49">
        <v>18</v>
      </c>
      <c r="G17" s="49">
        <v>35</v>
      </c>
      <c r="H17" s="49">
        <v>0</v>
      </c>
    </row>
    <row r="18" spans="1:8" x14ac:dyDescent="0.25">
      <c r="A18" s="9">
        <v>14</v>
      </c>
      <c r="B18" s="20">
        <v>46309</v>
      </c>
      <c r="C18" s="49">
        <v>9</v>
      </c>
      <c r="D18" s="49">
        <v>0</v>
      </c>
      <c r="E18" s="49">
        <v>30</v>
      </c>
      <c r="F18" s="49">
        <v>18</v>
      </c>
      <c r="G18" s="49">
        <v>35</v>
      </c>
      <c r="H18" s="49">
        <v>0</v>
      </c>
    </row>
    <row r="19" spans="1:8" x14ac:dyDescent="0.25">
      <c r="A19" s="9">
        <v>15</v>
      </c>
      <c r="B19" s="20">
        <v>46310</v>
      </c>
      <c r="C19" s="49">
        <v>9</v>
      </c>
      <c r="D19" s="49">
        <v>0</v>
      </c>
      <c r="E19" s="49">
        <v>30</v>
      </c>
      <c r="F19" s="49">
        <v>18</v>
      </c>
      <c r="G19" s="49">
        <v>35</v>
      </c>
      <c r="H19" s="49">
        <v>0</v>
      </c>
    </row>
    <row r="20" spans="1:8" x14ac:dyDescent="0.25">
      <c r="A20" s="9">
        <v>16</v>
      </c>
      <c r="B20" s="20">
        <v>46311</v>
      </c>
      <c r="C20" s="49">
        <v>9</v>
      </c>
      <c r="D20" s="49">
        <v>0</v>
      </c>
      <c r="E20" s="49">
        <v>30</v>
      </c>
      <c r="F20" s="49">
        <v>18</v>
      </c>
      <c r="G20" s="49">
        <v>35</v>
      </c>
      <c r="H20" s="49">
        <v>0</v>
      </c>
    </row>
    <row r="21" spans="1:8" x14ac:dyDescent="0.25">
      <c r="A21" s="9">
        <v>17</v>
      </c>
      <c r="B21" s="20">
        <v>46312</v>
      </c>
      <c r="C21" s="49">
        <v>9</v>
      </c>
      <c r="D21" s="49">
        <v>0</v>
      </c>
      <c r="E21" s="49">
        <v>30</v>
      </c>
      <c r="F21" s="49">
        <v>18</v>
      </c>
      <c r="G21" s="49">
        <v>35</v>
      </c>
      <c r="H21" s="49">
        <v>0</v>
      </c>
    </row>
    <row r="22" spans="1:8" x14ac:dyDescent="0.25">
      <c r="A22" s="9">
        <v>18</v>
      </c>
      <c r="B22" s="20">
        <v>46313</v>
      </c>
      <c r="C22" s="49">
        <v>9</v>
      </c>
      <c r="D22" s="49">
        <v>0</v>
      </c>
      <c r="E22" s="49">
        <v>30</v>
      </c>
      <c r="F22" s="49">
        <v>18</v>
      </c>
      <c r="G22" s="49">
        <v>35</v>
      </c>
      <c r="H22" s="49">
        <v>200</v>
      </c>
    </row>
    <row r="23" spans="1:8" x14ac:dyDescent="0.25">
      <c r="A23" s="9">
        <v>19</v>
      </c>
      <c r="B23" s="20">
        <v>46314</v>
      </c>
      <c r="C23" s="49">
        <v>9</v>
      </c>
      <c r="D23" s="49">
        <v>0</v>
      </c>
      <c r="E23" s="49">
        <v>30</v>
      </c>
      <c r="F23" s="49">
        <v>18</v>
      </c>
      <c r="G23" s="49">
        <v>35</v>
      </c>
      <c r="H23" s="49">
        <v>0</v>
      </c>
    </row>
    <row r="24" spans="1:8" x14ac:dyDescent="0.25">
      <c r="A24" s="9">
        <v>20</v>
      </c>
      <c r="B24" s="20">
        <v>46315</v>
      </c>
      <c r="C24" s="49">
        <v>9</v>
      </c>
      <c r="D24" s="49">
        <v>100</v>
      </c>
      <c r="E24" s="49">
        <v>30</v>
      </c>
      <c r="F24" s="49">
        <v>18</v>
      </c>
      <c r="G24" s="49">
        <v>35</v>
      </c>
      <c r="H24" s="49">
        <v>0</v>
      </c>
    </row>
    <row r="25" spans="1:8" x14ac:dyDescent="0.25">
      <c r="A25" s="9">
        <v>21</v>
      </c>
      <c r="B25" s="20">
        <v>46316</v>
      </c>
      <c r="C25" s="49">
        <v>9</v>
      </c>
      <c r="D25" s="49">
        <v>0</v>
      </c>
      <c r="E25" s="49">
        <v>30</v>
      </c>
      <c r="F25" s="49">
        <v>103</v>
      </c>
      <c r="G25" s="49">
        <v>35</v>
      </c>
      <c r="H25" s="49">
        <v>0</v>
      </c>
    </row>
    <row r="26" spans="1:8" x14ac:dyDescent="0.25">
      <c r="A26" s="9">
        <v>22</v>
      </c>
      <c r="B26" s="20">
        <v>46317</v>
      </c>
      <c r="C26" s="49">
        <v>9</v>
      </c>
      <c r="D26" s="49">
        <v>0</v>
      </c>
      <c r="E26" s="49">
        <v>30</v>
      </c>
      <c r="F26" s="49">
        <v>18</v>
      </c>
      <c r="G26" s="49">
        <v>35</v>
      </c>
      <c r="H26" s="49">
        <v>0</v>
      </c>
    </row>
    <row r="27" spans="1:8" x14ac:dyDescent="0.25">
      <c r="A27" s="9">
        <v>23</v>
      </c>
      <c r="B27" s="20">
        <v>46318</v>
      </c>
      <c r="C27" s="49">
        <v>9</v>
      </c>
      <c r="D27" s="49">
        <v>0</v>
      </c>
      <c r="E27" s="49">
        <v>30</v>
      </c>
      <c r="F27" s="49">
        <v>18</v>
      </c>
      <c r="G27" s="49">
        <v>35</v>
      </c>
      <c r="H27" s="49">
        <v>0</v>
      </c>
    </row>
    <row r="28" spans="1:8" x14ac:dyDescent="0.25">
      <c r="A28" s="9">
        <v>24</v>
      </c>
      <c r="B28" s="20">
        <v>46319</v>
      </c>
      <c r="C28" s="49">
        <v>39</v>
      </c>
      <c r="D28" s="49">
        <v>0</v>
      </c>
      <c r="E28" s="49">
        <v>30</v>
      </c>
      <c r="F28" s="49">
        <v>18</v>
      </c>
      <c r="G28" s="49">
        <v>35</v>
      </c>
      <c r="H28" s="49">
        <v>0</v>
      </c>
    </row>
    <row r="29" spans="1:8" x14ac:dyDescent="0.25">
      <c r="A29" s="9">
        <v>25</v>
      </c>
      <c r="B29" s="20">
        <v>46320</v>
      </c>
      <c r="C29" s="49">
        <v>9</v>
      </c>
      <c r="D29" s="49">
        <v>0</v>
      </c>
      <c r="E29" s="49">
        <v>30</v>
      </c>
      <c r="F29" s="49">
        <v>18</v>
      </c>
      <c r="G29" s="49">
        <v>175</v>
      </c>
      <c r="H29" s="49">
        <v>0</v>
      </c>
    </row>
    <row r="30" spans="1:8" x14ac:dyDescent="0.25">
      <c r="A30" s="9">
        <v>26</v>
      </c>
      <c r="B30" s="20">
        <v>46321</v>
      </c>
      <c r="C30" s="49">
        <v>9</v>
      </c>
      <c r="D30" s="49">
        <v>0</v>
      </c>
      <c r="E30" s="49">
        <v>110</v>
      </c>
      <c r="F30" s="49">
        <v>18</v>
      </c>
      <c r="G30" s="49">
        <v>35</v>
      </c>
      <c r="H30" s="49">
        <v>0</v>
      </c>
    </row>
    <row r="31" spans="1:8" x14ac:dyDescent="0.25">
      <c r="A31" s="9">
        <v>27</v>
      </c>
      <c r="B31" s="20">
        <v>46322</v>
      </c>
      <c r="C31" s="49">
        <v>9</v>
      </c>
      <c r="D31" s="49">
        <v>0</v>
      </c>
      <c r="E31" s="49">
        <v>30</v>
      </c>
      <c r="F31" s="49">
        <v>18</v>
      </c>
      <c r="G31" s="49">
        <v>35</v>
      </c>
      <c r="H31" s="49">
        <v>0</v>
      </c>
    </row>
    <row r="32" spans="1:8" x14ac:dyDescent="0.25">
      <c r="A32" s="9">
        <v>28</v>
      </c>
      <c r="B32" s="20">
        <v>46323</v>
      </c>
      <c r="C32" s="49">
        <v>9</v>
      </c>
      <c r="D32" s="49">
        <v>0</v>
      </c>
      <c r="E32" s="49">
        <v>30</v>
      </c>
      <c r="F32" s="49">
        <v>18</v>
      </c>
      <c r="G32" s="49">
        <v>35</v>
      </c>
      <c r="H32" s="49">
        <v>0</v>
      </c>
    </row>
    <row r="33" spans="1:8" x14ac:dyDescent="0.25">
      <c r="A33" s="9">
        <v>29</v>
      </c>
      <c r="B33" s="20">
        <v>46324</v>
      </c>
      <c r="C33" s="49">
        <v>9</v>
      </c>
      <c r="D33" s="49">
        <v>0</v>
      </c>
      <c r="E33" s="49">
        <v>30</v>
      </c>
      <c r="F33" s="49">
        <v>18</v>
      </c>
      <c r="G33" s="49">
        <v>35</v>
      </c>
      <c r="H33" s="49">
        <v>200</v>
      </c>
    </row>
    <row r="34" spans="1:8" x14ac:dyDescent="0.25">
      <c r="A34" s="9">
        <v>30</v>
      </c>
      <c r="B34" s="20">
        <v>46325</v>
      </c>
      <c r="C34" s="49">
        <v>9</v>
      </c>
      <c r="D34" s="49">
        <v>100</v>
      </c>
      <c r="E34" s="49">
        <v>30</v>
      </c>
      <c r="F34" s="49">
        <v>18</v>
      </c>
      <c r="G34" s="49">
        <v>35</v>
      </c>
      <c r="H34" s="49">
        <v>0</v>
      </c>
    </row>
    <row r="35" spans="1:8" x14ac:dyDescent="0.25">
      <c r="A35" s="9">
        <v>31</v>
      </c>
      <c r="B35" s="20">
        <v>46326</v>
      </c>
      <c r="C35" s="49">
        <v>9</v>
      </c>
      <c r="D35" s="49">
        <v>0</v>
      </c>
      <c r="E35" s="49">
        <v>30</v>
      </c>
      <c r="F35" s="49">
        <v>18</v>
      </c>
      <c r="G35" s="49">
        <v>35</v>
      </c>
      <c r="H35" s="49">
        <v>0</v>
      </c>
    </row>
    <row r="36" spans="1:8" x14ac:dyDescent="0.25">
      <c r="A36" s="27" t="s">
        <v>258</v>
      </c>
      <c r="B36" s="28"/>
      <c r="C36" s="29">
        <f t="shared" ref="C36:H36" si="0">SUM(C5:C35)</f>
        <v>339</v>
      </c>
      <c r="D36" s="29">
        <f t="shared" si="0"/>
        <v>300</v>
      </c>
      <c r="E36" s="29">
        <f t="shared" si="0"/>
        <v>1090</v>
      </c>
      <c r="F36" s="29">
        <f t="shared" si="0"/>
        <v>728</v>
      </c>
      <c r="G36" s="29">
        <f t="shared" si="0"/>
        <v>1365</v>
      </c>
      <c r="H36" s="29">
        <f t="shared" si="0"/>
        <v>600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&amp;C_x000D_&amp;1#&amp;"Arial"&amp;10&amp;K000000 Internal</oddFooter>
  </headerFooter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Optimization_Notes</vt:lpstr>
      <vt:lpstr>Daily_Plan</vt:lpstr>
      <vt:lpstr>Tank_Balance</vt:lpstr>
      <vt:lpstr>Tank_Summary</vt:lpstr>
      <vt:lpstr>Constraint_Check</vt:lpstr>
      <vt:lpstr>Crude_Data</vt:lpstr>
      <vt:lpstr>Unit_Data</vt:lpstr>
      <vt:lpstr>Product_Data</vt:lpstr>
      <vt:lpstr>Tank_Master</vt:lpstr>
      <vt:lpstr>Crude_Receipts</vt:lpstr>
      <vt:lpstr>Product_Liftings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Iqbal Shafiq bin Mohd Shaufi</dc:creator>
  <cp:keywords/>
  <dc:description/>
  <cp:lastModifiedBy>Muhammad Iqbal Shafiq bin Mohd Shaufi</cp:lastModifiedBy>
  <cp:revision>1</cp:revision>
  <dcterms:created xsi:type="dcterms:W3CDTF">2026-10-12T10:01:30Z</dcterms:created>
  <dcterms:modified xsi:type="dcterms:W3CDTF">2026-10-22T03:45:21Z</dcterms:modified>
  <cp:category/>
  <cp:contentStatus/>
</cp:coreProperties>
</file>